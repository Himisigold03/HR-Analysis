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ROBOOK x360 11 EE\Downloads\"/>
    </mc:Choice>
  </mc:AlternateContent>
  <xr:revisionPtr revIDLastSave="0" documentId="13_ncr:1_{F8B6DEEE-D6AB-43D2-BCE6-6AB0E570A234}" xr6:coauthVersionLast="47" xr6:coauthVersionMax="47" xr10:uidLastSave="{00000000-0000-0000-0000-000000000000}"/>
  <bookViews>
    <workbookView xWindow="-108" yWindow="-108" windowWidth="15672" windowHeight="9432" firstSheet="1" activeTab="2" xr2:uid="{00000000-000D-0000-FFFF-FFFF00000000}"/>
  </bookViews>
  <sheets>
    <sheet name="Raw_Employee_Data" sheetId="1" r:id="rId1"/>
    <sheet name="Analysis" sheetId="5" r:id="rId2"/>
    <sheet name="Dashboard" sheetId="6" r:id="rId3"/>
    <sheet name="dataset" sheetId="4" r:id="rId4"/>
    <sheet name="Lookup_Departments" sheetId="2" r:id="rId5"/>
    <sheet name="Lookup_Performance" sheetId="3" r:id="rId6"/>
  </sheets>
  <definedNames>
    <definedName name="_xlnm._FilterDatabase" localSheetId="3" hidden="1">dataset!$A$1:$I$151</definedName>
    <definedName name="_xlnm._FilterDatabase" localSheetId="0" hidden="1">Raw_Employee_Data!$A$1:$H$151</definedName>
    <definedName name="Slicer_Bonus_Performance">#N/A</definedName>
    <definedName name="Slicer_Months__Hire_Date">#N/A</definedName>
    <definedName name="Slicer_Years">#N/A</definedName>
    <definedName name="Slicer_Years_of_Servic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4" i="5" l="1"/>
  <c r="E10" i="5"/>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2" i="4"/>
  <c r="L13"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L3" i="4"/>
  <c r="L4" i="4"/>
  <c r="L5" i="4"/>
  <c r="L6" i="4"/>
  <c r="L7" i="4"/>
  <c r="L8" i="4"/>
  <c r="L9" i="4"/>
  <c r="L10" i="4"/>
  <c r="L11" i="4"/>
  <c r="L12"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2" i="4"/>
  <c r="K2" i="4"/>
  <c r="J2" i="4"/>
  <c r="H13" i="5"/>
  <c r="B4" i="5"/>
</calcChain>
</file>

<file path=xl/sharedStrings.xml><?xml version="1.0" encoding="utf-8"?>
<sst xmlns="http://schemas.openxmlformats.org/spreadsheetml/2006/main" count="1833" uniqueCount="456">
  <si>
    <t>Emp ID</t>
  </si>
  <si>
    <t>First_Name</t>
  </si>
  <si>
    <t>Last_Name</t>
  </si>
  <si>
    <t>Dept Code</t>
  </si>
  <si>
    <t>Hire Date</t>
  </si>
  <si>
    <t>Salary</t>
  </si>
  <si>
    <t>Perf_Score</t>
  </si>
  <si>
    <t>Employment Status</t>
  </si>
  <si>
    <t>EMP127</t>
  </si>
  <si>
    <t>Emily</t>
  </si>
  <si>
    <t>Brown</t>
  </si>
  <si>
    <t>IT02</t>
  </si>
  <si>
    <t>active</t>
  </si>
  <si>
    <t>EMP046</t>
  </si>
  <si>
    <t>Richard</t>
  </si>
  <si>
    <t>Hernandez</t>
  </si>
  <si>
    <t>MKT04</t>
  </si>
  <si>
    <t xml:space="preserve"> ACTIVE </t>
  </si>
  <si>
    <t>EMP134</t>
  </si>
  <si>
    <t>Gonzalez</t>
  </si>
  <si>
    <t xml:space="preserve"> IT02 </t>
  </si>
  <si>
    <t>$114,425</t>
  </si>
  <si>
    <t xml:space="preserve"> LEFT </t>
  </si>
  <si>
    <t>EMP139</t>
  </si>
  <si>
    <t>John</t>
  </si>
  <si>
    <t>Martinez</t>
  </si>
  <si>
    <t>FIN03</t>
  </si>
  <si>
    <t>EMP112</t>
  </si>
  <si>
    <t>Thomas</t>
  </si>
  <si>
    <t>Smith</t>
  </si>
  <si>
    <t>Left</t>
  </si>
  <si>
    <t>EMP030</t>
  </si>
  <si>
    <t>Johnson</t>
  </si>
  <si>
    <t>OPS06</t>
  </si>
  <si>
    <t>02-Mar-20</t>
  </si>
  <si>
    <t>EMP096</t>
  </si>
  <si>
    <t>Wilson</t>
  </si>
  <si>
    <t xml:space="preserve"> OPS06 </t>
  </si>
  <si>
    <t>EMP098</t>
  </si>
  <si>
    <t>Jessica</t>
  </si>
  <si>
    <t>EMP095</t>
  </si>
  <si>
    <t>Rodriguez</t>
  </si>
  <si>
    <t>EMP140</t>
  </si>
  <si>
    <t>Michael</t>
  </si>
  <si>
    <t>SAL05</t>
  </si>
  <si>
    <t>Active</t>
  </si>
  <si>
    <t>EMP020</t>
  </si>
  <si>
    <t>Miller</t>
  </si>
  <si>
    <t>sal05</t>
  </si>
  <si>
    <t>$118,635</t>
  </si>
  <si>
    <t>EMP057</t>
  </si>
  <si>
    <t>Actv</t>
  </si>
  <si>
    <t>EMP016</t>
  </si>
  <si>
    <t>Jane</t>
  </si>
  <si>
    <t>Williams</t>
  </si>
  <si>
    <t>mkt04</t>
  </si>
  <si>
    <t>17-Jun-21</t>
  </si>
  <si>
    <t>EMP070</t>
  </si>
  <si>
    <t>EMP025</t>
  </si>
  <si>
    <t>Robert</t>
  </si>
  <si>
    <t>Jones</t>
  </si>
  <si>
    <t xml:space="preserve"> MKT04 </t>
  </si>
  <si>
    <t>EMP031</t>
  </si>
  <si>
    <t>EMP126</t>
  </si>
  <si>
    <t>Davis</t>
  </si>
  <si>
    <t>EMP109</t>
  </si>
  <si>
    <t>James</t>
  </si>
  <si>
    <t>EMP066</t>
  </si>
  <si>
    <t>Ashley</t>
  </si>
  <si>
    <t>Lopez</t>
  </si>
  <si>
    <t>EMP120</t>
  </si>
  <si>
    <t>Amanda</t>
  </si>
  <si>
    <t>EMP019</t>
  </si>
  <si>
    <t>EMP013</t>
  </si>
  <si>
    <t>EMP010</t>
  </si>
  <si>
    <t>EMP032</t>
  </si>
  <si>
    <t xml:space="preserve"> FIN03 </t>
  </si>
  <si>
    <t>EMP082</t>
  </si>
  <si>
    <t>EMP052</t>
  </si>
  <si>
    <t xml:space="preserve"> SAL05 </t>
  </si>
  <si>
    <t>EMP129</t>
  </si>
  <si>
    <t>09/24/2019</t>
  </si>
  <si>
    <t>$77,610</t>
  </si>
  <si>
    <t>EMP146</t>
  </si>
  <si>
    <t>it02</t>
  </si>
  <si>
    <t>$50,873</t>
  </si>
  <si>
    <t>EMP099</t>
  </si>
  <si>
    <t>fin03</t>
  </si>
  <si>
    <t>13-May-18</t>
  </si>
  <si>
    <t>EMP015</t>
  </si>
  <si>
    <t>EMP076</t>
  </si>
  <si>
    <t>05-Aug-15</t>
  </si>
  <si>
    <t>EMP137</t>
  </si>
  <si>
    <t>EMP056</t>
  </si>
  <si>
    <t>Sarah</t>
  </si>
  <si>
    <t>10-Jun-19</t>
  </si>
  <si>
    <t>EMP125</t>
  </si>
  <si>
    <t>HR01</t>
  </si>
  <si>
    <t>EMP085</t>
  </si>
  <si>
    <t>03-Jul-17</t>
  </si>
  <si>
    <t>EMP106</t>
  </si>
  <si>
    <t>01-Sep-15</t>
  </si>
  <si>
    <t>EMP043</t>
  </si>
  <si>
    <t>03-Aug-22</t>
  </si>
  <si>
    <t>EMP068</t>
  </si>
  <si>
    <t>Melissa</t>
  </si>
  <si>
    <t>06/29/2022</t>
  </si>
  <si>
    <t>EMP128</t>
  </si>
  <si>
    <t>left</t>
  </si>
  <si>
    <t>EMP027</t>
  </si>
  <si>
    <t>09/09/2017</t>
  </si>
  <si>
    <t>EMP136</t>
  </si>
  <si>
    <t>EMP079</t>
  </si>
  <si>
    <t>David</t>
  </si>
  <si>
    <t>EMP149</t>
  </si>
  <si>
    <t>$66,606</t>
  </si>
  <si>
    <t>Resigned</t>
  </si>
  <si>
    <t>EMP037</t>
  </si>
  <si>
    <t>EMP077</t>
  </si>
  <si>
    <t>07/14/2016</t>
  </si>
  <si>
    <t>EMP023</t>
  </si>
  <si>
    <t>EMP133</t>
  </si>
  <si>
    <t>10-Jul-19</t>
  </si>
  <si>
    <t>EMP141</t>
  </si>
  <si>
    <t>EMP012</t>
  </si>
  <si>
    <t>EMP080</t>
  </si>
  <si>
    <t>$75,023</t>
  </si>
  <si>
    <t>EMP069</t>
  </si>
  <si>
    <t>EMP150</t>
  </si>
  <si>
    <t>EMP028</t>
  </si>
  <si>
    <t>10/07/2019</t>
  </si>
  <si>
    <t>EMP087</t>
  </si>
  <si>
    <t>EMP119</t>
  </si>
  <si>
    <t>Garcia</t>
  </si>
  <si>
    <t>EMP042</t>
  </si>
  <si>
    <t>Anderson</t>
  </si>
  <si>
    <t>EMP005</t>
  </si>
  <si>
    <t>EMP033</t>
  </si>
  <si>
    <t>hr01</t>
  </si>
  <si>
    <t>02/07/2018</t>
  </si>
  <si>
    <t>EMP061</t>
  </si>
  <si>
    <t>EMP102</t>
  </si>
  <si>
    <t>EMP067</t>
  </si>
  <si>
    <t>EMP017</t>
  </si>
  <si>
    <t>EMP123</t>
  </si>
  <si>
    <t>$75,519</t>
  </si>
  <si>
    <t>EMP011</t>
  </si>
  <si>
    <t>EMP091</t>
  </si>
  <si>
    <t>EMP145</t>
  </si>
  <si>
    <t>11/11/2016</t>
  </si>
  <si>
    <t>$50,936</t>
  </si>
  <si>
    <t>EMP001</t>
  </si>
  <si>
    <t>24-Mar-17</t>
  </si>
  <si>
    <t>$111,240</t>
  </si>
  <si>
    <t>EMP113</t>
  </si>
  <si>
    <t>05-May-19</t>
  </si>
  <si>
    <t>EMP065</t>
  </si>
  <si>
    <t xml:space="preserve"> HR01 </t>
  </si>
  <si>
    <t>EMP045</t>
  </si>
  <si>
    <t>EMP083</t>
  </si>
  <si>
    <t>William</t>
  </si>
  <si>
    <t>EMP029</t>
  </si>
  <si>
    <t>EMP041</t>
  </si>
  <si>
    <t>EMP026</t>
  </si>
  <si>
    <t>EMP024</t>
  </si>
  <si>
    <t>ops06</t>
  </si>
  <si>
    <t>11-Oct-16</t>
  </si>
  <si>
    <t>EMP111</t>
  </si>
  <si>
    <t>EMP040</t>
  </si>
  <si>
    <t>02/19/2017</t>
  </si>
  <si>
    <t>$86,246</t>
  </si>
  <si>
    <t>EMP086</t>
  </si>
  <si>
    <t>09/07/2021</t>
  </si>
  <si>
    <t>EMP124</t>
  </si>
  <si>
    <t>EMP132</t>
  </si>
  <si>
    <t>EMP048</t>
  </si>
  <si>
    <t>09/29/2018</t>
  </si>
  <si>
    <t>$47,694</t>
  </si>
  <si>
    <t>EMP114</t>
  </si>
  <si>
    <t>EMP062</t>
  </si>
  <si>
    <t>EMP074</t>
  </si>
  <si>
    <t>07-Feb-21</t>
  </si>
  <si>
    <t>EMP034</t>
  </si>
  <si>
    <t>10/04/2023</t>
  </si>
  <si>
    <t>EMP105</t>
  </si>
  <si>
    <t>EMP118</t>
  </si>
  <si>
    <t>EMP063</t>
  </si>
  <si>
    <t>27-Nov-19</t>
  </si>
  <si>
    <t>EMP094</t>
  </si>
  <si>
    <t>25-May-17</t>
  </si>
  <si>
    <t>$77,545</t>
  </si>
  <si>
    <t>EMP097</t>
  </si>
  <si>
    <t>EMP054</t>
  </si>
  <si>
    <t>EMP006</t>
  </si>
  <si>
    <t>EMP110</t>
  </si>
  <si>
    <t>$88,056</t>
  </si>
  <si>
    <t>EMP147</t>
  </si>
  <si>
    <t>EMP050</t>
  </si>
  <si>
    <t>$115,288</t>
  </si>
  <si>
    <t>EMP036</t>
  </si>
  <si>
    <t>EMP081</t>
  </si>
  <si>
    <t>EMP078</t>
  </si>
  <si>
    <t>EMP035</t>
  </si>
  <si>
    <t>03/08/2019</t>
  </si>
  <si>
    <t>EMP047</t>
  </si>
  <si>
    <t>11-Mar-15</t>
  </si>
  <si>
    <t>EMP008</t>
  </si>
  <si>
    <t>19-Feb-17</t>
  </si>
  <si>
    <t>EMP044</t>
  </si>
  <si>
    <t>$49,942</t>
  </si>
  <si>
    <t>EMP071</t>
  </si>
  <si>
    <t>EMP115</t>
  </si>
  <si>
    <t>EMP092</t>
  </si>
  <si>
    <t>05/22/2016</t>
  </si>
  <si>
    <t>EMP084</t>
  </si>
  <si>
    <t>EMP142</t>
  </si>
  <si>
    <t>EMP143</t>
  </si>
  <si>
    <t>13-Nov-16</t>
  </si>
  <si>
    <t>$77,737</t>
  </si>
  <si>
    <t>EMP090</t>
  </si>
  <si>
    <t>$95,686</t>
  </si>
  <si>
    <t>EMP009</t>
  </si>
  <si>
    <t>EMP014</t>
  </si>
  <si>
    <t>13-Aug-21</t>
  </si>
  <si>
    <t>$109,121</t>
  </si>
  <si>
    <t>EMP060</t>
  </si>
  <si>
    <t>$112,791</t>
  </si>
  <si>
    <t>EMP135</t>
  </si>
  <si>
    <t>05-Jul-22</t>
  </si>
  <si>
    <t>EMP004</t>
  </si>
  <si>
    <t>07/10/2016</t>
  </si>
  <si>
    <t>EMP018</t>
  </si>
  <si>
    <t>EMP039</t>
  </si>
  <si>
    <t>05/10/2017</t>
  </si>
  <si>
    <t>EMP073</t>
  </si>
  <si>
    <t>EMP138</t>
  </si>
  <si>
    <t>04/20/2023</t>
  </si>
  <si>
    <t>EMP007</t>
  </si>
  <si>
    <t>EMP144</t>
  </si>
  <si>
    <t>24-Oct-21</t>
  </si>
  <si>
    <t>EMP101</t>
  </si>
  <si>
    <t>EMP003</t>
  </si>
  <si>
    <t>EMP121</t>
  </si>
  <si>
    <t>10-Aug-20</t>
  </si>
  <si>
    <t>$68,092</t>
  </si>
  <si>
    <t>EMP064</t>
  </si>
  <si>
    <t>EMP116</t>
  </si>
  <si>
    <t>24-Mar-18</t>
  </si>
  <si>
    <t>EMP055</t>
  </si>
  <si>
    <t>EMP108</t>
  </si>
  <si>
    <t>EMP051</t>
  </si>
  <si>
    <t>04-Mar-16</t>
  </si>
  <si>
    <t>EMP059</t>
  </si>
  <si>
    <t>EMP049</t>
  </si>
  <si>
    <t>28-Jul-17</t>
  </si>
  <si>
    <t>$115,618</t>
  </si>
  <si>
    <t>EMP089</t>
  </si>
  <si>
    <t>05/11/2023</t>
  </si>
  <si>
    <t>$110,618</t>
  </si>
  <si>
    <t>EMP022</t>
  </si>
  <si>
    <t>19-Mar-22</t>
  </si>
  <si>
    <t>EMP058</t>
  </si>
  <si>
    <t>EMP130</t>
  </si>
  <si>
    <t>08/29/2021</t>
  </si>
  <si>
    <t>EMP038</t>
  </si>
  <si>
    <t>$61,547</t>
  </si>
  <si>
    <t>EMP148</t>
  </si>
  <si>
    <t>EMP002</t>
  </si>
  <si>
    <t>03-Oct-17</t>
  </si>
  <si>
    <t>EMP053</t>
  </si>
  <si>
    <t>10/22/2015</t>
  </si>
  <si>
    <t>EMP131</t>
  </si>
  <si>
    <t>EMP104</t>
  </si>
  <si>
    <t>EMP100</t>
  </si>
  <si>
    <t>EMP117</t>
  </si>
  <si>
    <t>$108,119</t>
  </si>
  <si>
    <t>EMP088</t>
  </si>
  <si>
    <t>EMP075</t>
  </si>
  <si>
    <t>EMP122</t>
  </si>
  <si>
    <t>01/12/2019</t>
  </si>
  <si>
    <t>EMP021</t>
  </si>
  <si>
    <t>EMP072</t>
  </si>
  <si>
    <t>EMP107</t>
  </si>
  <si>
    <t>EMP093</t>
  </si>
  <si>
    <t>03-Nov-16</t>
  </si>
  <si>
    <t>EMP103</t>
  </si>
  <si>
    <t>$118,634</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</si>
  <si>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</si>
  <si>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</si>
  <si>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</si>
  <si>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</si>
  <si>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</si>
  <si>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</si>
  <si>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</si>
  <si>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</si>
  <si>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</si>
  <si>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</si>
  <si>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</si>
  <si>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</si>
  <si>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</si>
  <si>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</si>
  <si>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</si>
  <si>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</si>
  <si>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</si>
  <si>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Emily Brown</t>
  </si>
  <si>
    <t>Richard Hernandez</t>
  </si>
  <si>
    <t>Emily Gonzalez</t>
  </si>
  <si>
    <t>John Martinez</t>
  </si>
  <si>
    <t>Thomas Smith</t>
  </si>
  <si>
    <t>Emily Johnson</t>
  </si>
  <si>
    <t>John Wilson</t>
  </si>
  <si>
    <t>Jessica Smith</t>
  </si>
  <si>
    <t>Michael Martinez</t>
  </si>
  <si>
    <t>Emily Miller</t>
  </si>
  <si>
    <t>Emily Hernandez</t>
  </si>
  <si>
    <t>Jane Williams</t>
  </si>
  <si>
    <t>Jane Miller</t>
  </si>
  <si>
    <t>Robert Jones</t>
  </si>
  <si>
    <t>Thomas Rodriguez</t>
  </si>
  <si>
    <t>Emily Davis</t>
  </si>
  <si>
    <t>James Martinez</t>
  </si>
  <si>
    <t>Ashley Lopez</t>
  </si>
  <si>
    <t>Amanda Gonzalez</t>
  </si>
  <si>
    <t>Michael Hernandez</t>
  </si>
  <si>
    <t>Full_Name</t>
  </si>
  <si>
    <t>Emp_ID</t>
  </si>
  <si>
    <t>Hire_Date</t>
  </si>
  <si>
    <t>Performance_Score</t>
  </si>
  <si>
    <t>Employment_Status</t>
  </si>
  <si>
    <t>Department_Code</t>
  </si>
  <si>
    <t>Bonus_Performance</t>
  </si>
  <si>
    <t>Jv33_John</t>
  </si>
  <si>
    <t>Ev55_Emily</t>
  </si>
  <si>
    <t>Ev99_Emily</t>
  </si>
  <si>
    <t>Mv88_Michael</t>
  </si>
  <si>
    <t>Jv99_Jane</t>
  </si>
  <si>
    <t>Tv55_Thomas</t>
  </si>
  <si>
    <t>Ev22_Emily</t>
  </si>
  <si>
    <t>Jv99_James</t>
  </si>
  <si>
    <t>Av88_Amanda</t>
  </si>
  <si>
    <t>Mf00_Michael</t>
  </si>
  <si>
    <t>Emily Rodriguez</t>
  </si>
  <si>
    <t>Jv66_Jessica</t>
  </si>
  <si>
    <t>Av66_Ashley</t>
  </si>
  <si>
    <t>Ev88_Emily</t>
  </si>
  <si>
    <t>Tv77_Thomas</t>
  </si>
  <si>
    <t>Mv00_Michael</t>
  </si>
  <si>
    <t>Jv00_John</t>
  </si>
  <si>
    <t>Tv11_Thomas</t>
  </si>
  <si>
    <t>Sv33_Sarah</t>
  </si>
  <si>
    <t>Jv11_Jane</t>
  </si>
  <si>
    <t>Ev77_Emily</t>
  </si>
  <si>
    <t>Jv55_John</t>
  </si>
  <si>
    <t>Mv22_Melissa</t>
  </si>
  <si>
    <t>Mf44_Michael</t>
  </si>
  <si>
    <t>Sv66_Sarah</t>
  </si>
  <si>
    <t>Ef88_Emily</t>
  </si>
  <si>
    <t>Dv44_David</t>
  </si>
  <si>
    <t>Je55_James</t>
  </si>
  <si>
    <t>Se77_Sarah</t>
  </si>
  <si>
    <t>Av99_Amanda</t>
  </si>
  <si>
    <t>Mf00_Melissa</t>
  </si>
  <si>
    <t>Ae22_Amanda</t>
  </si>
  <si>
    <t>Jf55_John</t>
  </si>
  <si>
    <t>Re88_Richard</t>
  </si>
  <si>
    <t>Ev66_Emily</t>
  </si>
  <si>
    <t>Jv44_Jane</t>
  </si>
  <si>
    <t>Tv00_Thomas</t>
  </si>
  <si>
    <t>Ef33_Emily</t>
  </si>
  <si>
    <t>Mv33_Michael</t>
  </si>
  <si>
    <t>Rv77_Robert</t>
  </si>
  <si>
    <t>Rv99_Robert</t>
  </si>
  <si>
    <t>Tf55_Thomas</t>
  </si>
  <si>
    <t>Mv22_Michael</t>
  </si>
  <si>
    <t>Re22_Richard</t>
  </si>
  <si>
    <t>Mv77_Melissa</t>
  </si>
  <si>
    <t>Wv77_William</t>
  </si>
  <si>
    <t>Jf88_John</t>
  </si>
  <si>
    <t>Jf11_James</t>
  </si>
  <si>
    <t>Jv22_Jane</t>
  </si>
  <si>
    <t>Dv33_David</t>
  </si>
  <si>
    <t>Jf77_Jane</t>
  </si>
  <si>
    <t>Ef66_Emily</t>
  </si>
  <si>
    <t>Sv77_Sarah</t>
  </si>
  <si>
    <t>Jv22_Jessica</t>
  </si>
  <si>
    <t>Rv77_Richard</t>
  </si>
  <si>
    <t>Me22_Melissa</t>
  </si>
  <si>
    <t>Tv66_Thomas</t>
  </si>
  <si>
    <t>Dv55_David</t>
  </si>
  <si>
    <t>Jv22_John</t>
  </si>
  <si>
    <t>Rv55_Richard</t>
  </si>
  <si>
    <t>Mv66_Melissa</t>
  </si>
  <si>
    <t>Jv00_Jane</t>
  </si>
  <si>
    <t>Wv00_William</t>
  </si>
  <si>
    <t>Tf44_Thomas</t>
  </si>
  <si>
    <t>Jv55_Jessica</t>
  </si>
  <si>
    <t>Mv00_Melissa</t>
  </si>
  <si>
    <t>Tf22_Thomas</t>
  </si>
  <si>
    <t>Ev11_Emily</t>
  </si>
  <si>
    <t>Jv99_John</t>
  </si>
  <si>
    <t>Mv11_Melissa</t>
  </si>
  <si>
    <t>Wv66_William</t>
  </si>
  <si>
    <t>Jv66_John</t>
  </si>
  <si>
    <t>Jv77_James</t>
  </si>
  <si>
    <t>Wf44_William</t>
  </si>
  <si>
    <t>Sv88_Sarah</t>
  </si>
  <si>
    <t>Jv33_Jessica</t>
  </si>
  <si>
    <t>Tv88_Thomas</t>
  </si>
  <si>
    <t>Av77_Amanda</t>
  </si>
  <si>
    <t>Rv11_Robert</t>
  </si>
  <si>
    <t>Dv77_David</t>
  </si>
  <si>
    <t>Jv77_Jane</t>
  </si>
  <si>
    <t>Je77_James</t>
  </si>
  <si>
    <t>Sv00_Sarah</t>
  </si>
  <si>
    <t>Mf11_Melissa</t>
  </si>
  <si>
    <t>Mv88_Melissa</t>
  </si>
  <si>
    <t>Jv11_James</t>
  </si>
  <si>
    <t>Wv11_William</t>
  </si>
  <si>
    <t>Wv55_William</t>
  </si>
  <si>
    <t>Dv00_David</t>
  </si>
  <si>
    <t>Jv88_Jane</t>
  </si>
  <si>
    <t>Jf00_John</t>
  </si>
  <si>
    <t>Se55_Sarah</t>
  </si>
  <si>
    <t>Mf77_Melissa</t>
  </si>
  <si>
    <t>Mv33_Melissa</t>
  </si>
  <si>
    <t>Jv00_James</t>
  </si>
  <si>
    <t>Rf77_Richard</t>
  </si>
  <si>
    <t>Rv88_Richard</t>
  </si>
  <si>
    <t>Jv77_John</t>
  </si>
  <si>
    <t>Me44_Melissa</t>
  </si>
  <si>
    <t>Me77_Melissa</t>
  </si>
  <si>
    <t>Rf00_Richard</t>
  </si>
  <si>
    <t>Wv44_William</t>
  </si>
  <si>
    <t>Ef77_Emily</t>
  </si>
  <si>
    <t>Years_of_Service</t>
  </si>
  <si>
    <t>Years</t>
  </si>
  <si>
    <t>Count of Emp_ID</t>
  </si>
  <si>
    <t>Total Employee</t>
  </si>
  <si>
    <t>Sum of Salary</t>
  </si>
  <si>
    <t>Row Labels</t>
  </si>
  <si>
    <t>Grand Total</t>
  </si>
  <si>
    <t>Department</t>
  </si>
  <si>
    <t>Count of Department_Name</t>
  </si>
  <si>
    <t>Average of Performance_Score</t>
  </si>
  <si>
    <t>Sum of Bonus_Performance</t>
  </si>
  <si>
    <t>Performance Band</t>
  </si>
  <si>
    <t>Average of Salary</t>
  </si>
  <si>
    <t>2015</t>
  </si>
  <si>
    <t>2016</t>
  </si>
  <si>
    <t>2017</t>
  </si>
  <si>
    <t>2018</t>
  </si>
  <si>
    <t>2019</t>
  </si>
  <si>
    <t>2020</t>
  </si>
  <si>
    <t>2021</t>
  </si>
  <si>
    <t>2022</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</si>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</sst>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yyyy\-mm\-dd\ hh:mm:ss"/>
    <numFmt numFmtId="165" formatCode="dd/mm/yyyy;@"/>
    <numFmt numFmtId="166" formatCode="_-[$$-409]* #,##0_ ;_-[$$-409]* \-#,##0\ ;_-[$$-409]* &quot;-&quot;??_ ;_-@_ "/>
  </numFmts>
  <fonts count="7" x14ac:knownFonts="1">
    <font>
      <sz val="11"/>
      <color theme="1"/>
      <name val="Calibri"/>
      <family val="2"/>
      <scheme val="minor"/>
    </font>
    <font>
      <b/>
      <sz val="11"/>
      <name val="Calibri"/>
    </font>
    <font>
      <b/>
      <sz val="11"/>
      <name val="Calibri"/>
      <family val="2"/>
    </font>
    <font>
      <sz val="11"/>
      <color theme="1"/>
      <name val="Calibri"/>
      <family val="2"/>
      <scheme val="minor"/>
    </font>
    <font>
      <b/>
      <sz val="11"/>
      <color theme="0"/>
      <name val="Calibri"/>
      <family val="2"/>
      <scheme val="minor"/>
    </font>
    <font>
      <sz val="11"/>
      <color theme="3"/>
      <name val="Calibri"/>
      <family val="2"/>
      <scheme val="minor"/>
    </font>
    <font>
      <sz val="8"/>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2"/>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theme="0"/>
      </left>
      <right/>
      <top style="thin">
        <color theme="0"/>
      </top>
      <bottom/>
      <diagonal/>
    </border>
    <border>
      <left style="thin">
        <color auto="1"/>
      </left>
      <right/>
      <top style="thin">
        <color auto="1"/>
      </top>
      <bottom/>
      <diagonal/>
    </border>
    <border>
      <left style="thin">
        <color auto="1"/>
      </left>
      <right/>
      <top/>
      <bottom/>
      <diagonal/>
    </border>
    <border>
      <left style="thin">
        <color theme="0"/>
      </left>
      <right/>
      <top style="thin">
        <color auto="1"/>
      </top>
      <bottom/>
      <diagonal/>
    </border>
    <border>
      <left style="thin">
        <color theme="0"/>
      </left>
      <right/>
      <top style="thick">
        <color theme="0"/>
      </top>
      <bottom/>
      <diagonal/>
    </border>
    <border>
      <left/>
      <right/>
      <top style="thin">
        <color theme="0"/>
      </top>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45">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NumberFormat="1"/>
    <xf numFmtId="1" fontId="0" fillId="0" borderId="0" xfId="0" applyNumberFormat="1"/>
    <xf numFmtId="165" fontId="0" fillId="0" borderId="0" xfId="0" applyNumberFormat="1" applyAlignment="1">
      <alignment horizontal="right" vertical="center"/>
    </xf>
    <xf numFmtId="2" fontId="0" fillId="0" borderId="0" xfId="0" applyNumberFormat="1"/>
    <xf numFmtId="0" fontId="5"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4" xfId="0" applyFont="1" applyFill="1" applyBorder="1" applyAlignment="1">
      <alignment horizontal="center" vertical="top"/>
    </xf>
    <xf numFmtId="165" fontId="2" fillId="2" borderId="4" xfId="0" applyNumberFormat="1" applyFont="1" applyFill="1" applyBorder="1" applyAlignment="1">
      <alignment horizontal="center" vertical="top"/>
    </xf>
    <xf numFmtId="0" fontId="2" fillId="2" borderId="4" xfId="0" applyNumberFormat="1" applyFont="1" applyFill="1" applyBorder="1" applyAlignment="1">
      <alignment horizontal="center" vertical="top"/>
    </xf>
    <xf numFmtId="0" fontId="2" fillId="2" borderId="5" xfId="0" applyFont="1" applyFill="1" applyBorder="1" applyAlignment="1">
      <alignment horizontal="center" vertical="top"/>
    </xf>
    <xf numFmtId="0" fontId="4" fillId="2" borderId="5" xfId="0" applyFont="1" applyFill="1" applyBorder="1"/>
    <xf numFmtId="0" fontId="0" fillId="3" borderId="2" xfId="0" applyFont="1" applyFill="1" applyBorder="1"/>
    <xf numFmtId="0" fontId="0" fillId="3" borderId="6" xfId="0" applyFont="1" applyFill="1" applyBorder="1"/>
    <xf numFmtId="165" fontId="0" fillId="3" borderId="6" xfId="0" applyNumberFormat="1" applyFont="1" applyFill="1" applyBorder="1" applyAlignment="1">
      <alignment horizontal="right" vertical="center"/>
    </xf>
    <xf numFmtId="1" fontId="0" fillId="3" borderId="6" xfId="0" applyNumberFormat="1" applyFont="1" applyFill="1" applyBorder="1"/>
    <xf numFmtId="0" fontId="0" fillId="3" borderId="7" xfId="0" applyFont="1" applyFill="1" applyBorder="1"/>
    <xf numFmtId="14" fontId="0" fillId="3" borderId="7" xfId="0" applyNumberFormat="1" applyFont="1" applyFill="1" applyBorder="1"/>
    <xf numFmtId="1" fontId="0" fillId="3" borderId="7" xfId="0" applyNumberFormat="1" applyFont="1" applyFill="1" applyBorder="1"/>
    <xf numFmtId="0" fontId="0" fillId="4" borderId="8" xfId="0" applyFont="1" applyFill="1" applyBorder="1"/>
    <xf numFmtId="0" fontId="0" fillId="4" borderId="3" xfId="0" applyFont="1" applyFill="1" applyBorder="1"/>
    <xf numFmtId="165" fontId="0" fillId="4" borderId="3" xfId="0" applyNumberFormat="1" applyFont="1" applyFill="1" applyBorder="1" applyAlignment="1">
      <alignment horizontal="right" vertical="center"/>
    </xf>
    <xf numFmtId="1" fontId="0" fillId="4" borderId="3" xfId="0" applyNumberFormat="1" applyFont="1" applyFill="1" applyBorder="1"/>
    <xf numFmtId="14" fontId="0" fillId="4" borderId="3" xfId="0" applyNumberFormat="1" applyFont="1" applyFill="1" applyBorder="1"/>
    <xf numFmtId="0" fontId="0" fillId="3" borderId="8" xfId="0" applyFont="1" applyFill="1" applyBorder="1"/>
    <xf numFmtId="0" fontId="0" fillId="3" borderId="3" xfId="0" applyFont="1" applyFill="1" applyBorder="1"/>
    <xf numFmtId="165" fontId="0" fillId="3" borderId="3" xfId="0" applyNumberFormat="1" applyFont="1" applyFill="1" applyBorder="1" applyAlignment="1">
      <alignment horizontal="right" vertical="center"/>
    </xf>
    <xf numFmtId="1" fontId="0" fillId="3" borderId="3" xfId="0" applyNumberFormat="1" applyFont="1" applyFill="1" applyBorder="1"/>
    <xf numFmtId="14" fontId="0" fillId="3" borderId="3" xfId="0" applyNumberFormat="1" applyFont="1" applyFill="1" applyBorder="1"/>
    <xf numFmtId="165" fontId="0" fillId="3" borderId="3" xfId="0" applyNumberFormat="1" applyFont="1" applyFill="1" applyBorder="1" applyAlignment="1">
      <alignment vertical="center"/>
    </xf>
    <xf numFmtId="165" fontId="0" fillId="4" borderId="3" xfId="0" applyNumberFormat="1" applyFont="1" applyFill="1" applyBorder="1" applyAlignment="1">
      <alignment vertical="center"/>
    </xf>
    <xf numFmtId="14" fontId="0" fillId="3" borderId="3" xfId="0" applyNumberFormat="1" applyFont="1" applyFill="1" applyBorder="1" applyAlignment="1">
      <alignment horizontal="right" vertical="center"/>
    </xf>
    <xf numFmtId="9" fontId="2" fillId="2" borderId="5" xfId="1" applyFont="1" applyFill="1" applyBorder="1" applyAlignment="1">
      <alignment horizontal="center" vertical="top"/>
    </xf>
    <xf numFmtId="9" fontId="0" fillId="3" borderId="7" xfId="1" applyFont="1" applyFill="1" applyBorder="1"/>
    <xf numFmtId="9" fontId="0" fillId="4" borderId="3" xfId="1" applyFont="1" applyFill="1" applyBorder="1"/>
    <xf numFmtId="9" fontId="0" fillId="3" borderId="3" xfId="1" applyFont="1" applyFill="1" applyBorder="1"/>
    <xf numFmtId="9" fontId="0" fillId="0" borderId="0" xfId="1" applyFont="1"/>
    <xf numFmtId="9" fontId="0" fillId="0" borderId="0" xfId="0" applyNumberFormat="1"/>
    <xf numFmtId="0" fontId="0" fillId="5" borderId="0" xfId="0" applyFill="1"/>
    <xf numFmtId="166" fontId="0" fillId="0" borderId="0" xfId="0" applyNumberFormat="1"/>
    <xf numFmtId="166" fontId="0" fillId="0" borderId="0" xfId="2" applyNumberFormat="1" applyFont="1"/>
  </cellXfs>
  <cellStyles count="3">
    <cellStyle name="Comma" xfId="2" builtinId="3"/>
    <cellStyle name="Normal" xfId="0" builtinId="0"/>
    <cellStyle name="Per cent" xfId="1" builtinId="5"/>
  </cellStyles>
  <dxfs count="72">
    <dxf>
      <font>
        <color theme="3"/>
      </font>
    </dxf>
    <dxf>
      <numFmt numFmtId="14" formatCode="0.00%"/>
    </dxf>
    <dxf>
      <numFmt numFmtId="167" formatCode="0.0%"/>
    </dxf>
    <dxf>
      <numFmt numFmtId="13" formatCode="0%"/>
    </dxf>
    <dxf>
      <font>
        <color theme="3"/>
      </font>
    </dxf>
    <dxf>
      <numFmt numFmtId="2" formatCode="0.00"/>
    </dxf>
    <dxf>
      <numFmt numFmtId="2" formatCode="0.00"/>
    </dxf>
    <dxf>
      <numFmt numFmtId="2" formatCode="0.00"/>
    </dxf>
    <dxf>
      <font>
        <color theme="3"/>
      </font>
    </dxf>
    <dxf>
      <font>
        <color theme="3"/>
      </font>
    </dxf>
    <dxf>
      <font>
        <color theme="3"/>
      </font>
    </dxf>
    <dxf>
      <font>
        <color theme="3"/>
      </font>
    </dxf>
    <dxf>
      <numFmt numFmtId="1" formatCode="0"/>
    </dxf>
    <dxf>
      <font>
        <color theme="3"/>
      </font>
    </dxf>
    <dxf>
      <font>
        <color theme="3"/>
      </font>
    </dxf>
    <dxf>
      <numFmt numFmtId="14" formatCode="0.00%"/>
    </dxf>
    <dxf>
      <numFmt numFmtId="167" formatCode="0.0%"/>
    </dxf>
    <dxf>
      <numFmt numFmtId="13" formatCode="0%"/>
    </dxf>
    <dxf>
      <font>
        <color theme="3"/>
      </font>
    </dxf>
    <dxf>
      <numFmt numFmtId="2" formatCode="0.00"/>
    </dxf>
    <dxf>
      <numFmt numFmtId="2" formatCode="0.00"/>
    </dxf>
    <dxf>
      <numFmt numFmtId="2" formatCode="0.00"/>
    </dxf>
    <dxf>
      <font>
        <color theme="3"/>
      </font>
    </dxf>
    <dxf>
      <font>
        <color theme="3"/>
      </font>
    </dxf>
    <dxf>
      <font>
        <color theme="3"/>
      </font>
    </dxf>
    <dxf>
      <font>
        <color theme="3"/>
      </font>
    </dxf>
    <dxf>
      <numFmt numFmtId="1" formatCode="0"/>
    </dxf>
    <dxf>
      <font>
        <color theme="3"/>
      </font>
    </dxf>
    <dxf>
      <font>
        <color theme="3"/>
      </font>
    </dxf>
    <dxf>
      <numFmt numFmtId="14" formatCode="0.00%"/>
    </dxf>
    <dxf>
      <numFmt numFmtId="167" formatCode="0.0%"/>
    </dxf>
    <dxf>
      <numFmt numFmtId="13" formatCode="0%"/>
    </dxf>
    <dxf>
      <font>
        <color theme="3"/>
      </font>
    </dxf>
    <dxf>
      <numFmt numFmtId="14" formatCode="0.00%"/>
    </dxf>
    <dxf>
      <numFmt numFmtId="167" formatCode="0.0%"/>
    </dxf>
    <dxf>
      <numFmt numFmtId="13" formatCode="0%"/>
    </dxf>
    <dxf>
      <font>
        <b/>
        <i val="0"/>
        <sz val="14"/>
        <color theme="1"/>
        <name val="Calibri"/>
        <family val="2"/>
        <scheme val="minor"/>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sz val="14"/>
        <color theme="1"/>
        <name val="Calibri"/>
        <family val="2"/>
        <scheme val="minor"/>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5" formatCode="dd/mm/yyyy;@"/>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color theme="3"/>
      </font>
    </dxf>
    <dxf>
      <numFmt numFmtId="13" formatCode="0%"/>
    </dxf>
    <dxf>
      <numFmt numFmtId="167" formatCode="0.0%"/>
    </dxf>
    <dxf>
      <numFmt numFmtId="14" formatCode="0.00%"/>
    </dxf>
    <dxf>
      <font>
        <color theme="3"/>
      </font>
    </dxf>
    <dxf>
      <font>
        <color theme="3"/>
      </font>
    </dxf>
    <dxf>
      <font>
        <color theme="3"/>
      </font>
    </dxf>
    <dxf>
      <font>
        <color theme="3"/>
      </font>
    </dxf>
    <dxf>
      <numFmt numFmtId="1" formatCode="0"/>
    </dxf>
    <dxf>
      <font>
        <color theme="3"/>
      </font>
    </dxf>
    <dxf>
      <numFmt numFmtId="2" formatCode="0.00"/>
    </dxf>
    <dxf>
      <numFmt numFmtId="2" formatCode="0.00"/>
    </dxf>
    <dxf>
      <numFmt numFmtId="2" formatCode="0.00"/>
    </dxf>
    <dxf>
      <font>
        <color theme="3"/>
      </font>
    </dxf>
    <dxf>
      <fill>
        <patternFill>
          <fgColor rgb="FF2BA136"/>
        </patternFill>
      </fill>
    </dxf>
    <dxf>
      <font>
        <sz val="14"/>
        <color theme="0"/>
        <name val="Calibri"/>
        <family val="2"/>
        <scheme val="minor"/>
      </font>
      <fill>
        <patternFill>
          <bgColor rgb="FF92D050"/>
        </patternFill>
      </fill>
    </dxf>
  </dxfs>
  <tableStyles count="4" defaultTableStyle="TableStyleMedium9" defaultPivotStyle="PivotStyleLight16">
    <tableStyle name="Slicer Style 1" pivot="0" table="0" count="1" xr9:uid="{4CDF285A-2DBB-4EA5-8287-E034BA4933B5}">
      <tableStyleElement type="wholeTable" dxfId="71"/>
    </tableStyle>
    <tableStyle name="Slicer Style 2" pivot="0" table="0" count="1" xr9:uid="{FDF83982-D2A3-4F03-B797-EDA33B5029F2}">
      <tableStyleElement type="wholeTable" dxfId="70"/>
    </tableStyle>
    <tableStyle name="SlicerStyleDark3 2" pivot="0" table="0" count="10" xr9:uid="{C902BDC2-6FEB-4E7E-91C7-28FCF15ED7FF}">
      <tableStyleElement type="wholeTable" dxfId="39"/>
      <tableStyleElement type="headerRow" dxfId="38"/>
    </tableStyle>
    <tableStyle name="SlicerStyleDark3 2 2" pivot="0" table="0" count="10" xr9:uid="{42962B04-C6FB-423B-B649-948F795665EA}">
      <tableStyleElement type="wholeTable" dxfId="37"/>
      <tableStyleElement type="headerRow" dxfId="36"/>
    </tableStyle>
  </tableStyles>
  <colors>
    <mruColors>
      <color rgb="FF2BA136"/>
      <color rgb="FFA6E8AC"/>
      <color rgb="FF66FF66"/>
      <color rgb="FFD7F5D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BA136"/>
                </a:solidFill>
              </a:rPr>
              <a:t>Total Salary by Department</a:t>
            </a:r>
          </a:p>
        </c:rich>
      </c:tx>
      <c:layout>
        <c:manualLayout>
          <c:xMode val="edge"/>
          <c:yMode val="edge"/>
          <c:x val="0.31996283797858599"/>
          <c:y val="2.84057958048250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BA1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BA1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A136"/>
          </a:solidFill>
          <a:ln>
            <a:solidFill>
              <a:srgbClr val="2BA136"/>
            </a:solidFill>
          </a:ln>
          <a:effectLst/>
        </c:spPr>
        <c:marker>
          <c:symbol val="circle"/>
          <c:size val="5"/>
          <c:spPr>
            <a:solidFill>
              <a:srgbClr val="A6E8AC"/>
            </a:solidFill>
            <a:ln w="9525">
              <a:solidFill>
                <a:schemeClr val="accent1"/>
              </a:solidFill>
            </a:ln>
            <a:effectLst/>
          </c:spPr>
        </c:marker>
        <c:dLbl>
          <c:idx val="0"/>
          <c:spPr>
            <a:solidFill>
              <a:srgbClr val="A6E8AC"/>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BA1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37037037037038"/>
          <c:y val="0.12831335714648603"/>
          <c:w val="0.85246560846560848"/>
          <c:h val="0.69427183867297304"/>
        </c:manualLayout>
      </c:layout>
      <c:barChart>
        <c:barDir val="col"/>
        <c:grouping val="clustered"/>
        <c:varyColors val="0"/>
        <c:ser>
          <c:idx val="0"/>
          <c:order val="0"/>
          <c:tx>
            <c:strRef>
              <c:f>Analysis!$D$3</c:f>
              <c:strCache>
                <c:ptCount val="1"/>
                <c:pt idx="0">
                  <c:v>Total</c:v>
                </c:pt>
              </c:strCache>
            </c:strRef>
          </c:tx>
          <c:spPr>
            <a:solidFill>
              <a:srgbClr val="2BA136"/>
            </a:solidFill>
            <a:ln>
              <a:solidFill>
                <a:srgbClr val="2BA136"/>
              </a:solidFill>
            </a:ln>
            <a:effectLst/>
          </c:spPr>
          <c:invertIfNegative val="0"/>
          <c:dLbls>
            <c:spPr>
              <a:solidFill>
                <a:srgbClr val="A6E8AC"/>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BA13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Analysis!$C$4:$C$10</c:f>
              <c:strCache>
                <c:ptCount val="6"/>
                <c:pt idx="0">
                  <c:v>Finance</c:v>
                </c:pt>
                <c:pt idx="1">
                  <c:v>Human Resources</c:v>
                </c:pt>
                <c:pt idx="2">
                  <c:v>Information Technology</c:v>
                </c:pt>
                <c:pt idx="3">
                  <c:v>Marketing</c:v>
                </c:pt>
                <c:pt idx="4">
                  <c:v>Operations</c:v>
                </c:pt>
                <c:pt idx="5">
                  <c:v>Sales</c:v>
                </c:pt>
              </c:strCache>
            </c:strRef>
          </c:cat>
          <c:val>
            <c:numRef>
              <c:f>Analysis!$D$4:$D$10</c:f>
              <c:numCache>
                <c:formatCode>General</c:formatCode>
                <c:ptCount val="6"/>
                <c:pt idx="0">
                  <c:v>1477866</c:v>
                </c:pt>
                <c:pt idx="1">
                  <c:v>1336433</c:v>
                </c:pt>
                <c:pt idx="2">
                  <c:v>2923918</c:v>
                </c:pt>
                <c:pt idx="3">
                  <c:v>1754482</c:v>
                </c:pt>
                <c:pt idx="4">
                  <c:v>2189534</c:v>
                </c:pt>
                <c:pt idx="5">
                  <c:v>2248862</c:v>
                </c:pt>
              </c:numCache>
            </c:numRef>
          </c:val>
          <c:extLst>
            <c:ext xmlns:c16="http://schemas.microsoft.com/office/drawing/2014/chart" uri="{C3380CC4-5D6E-409C-BE32-E72D297353CC}">
              <c16:uniqueId val="{00000000-5475-4E6C-9261-0D34C5C4E7C8}"/>
            </c:ext>
          </c:extLst>
        </c:ser>
        <c:dLbls>
          <c:showLegendKey val="0"/>
          <c:showVal val="0"/>
          <c:showCatName val="0"/>
          <c:showSerName val="0"/>
          <c:showPercent val="0"/>
          <c:showBubbleSize val="0"/>
        </c:dLbls>
        <c:gapWidth val="150"/>
        <c:axId val="102851680"/>
        <c:axId val="102846880"/>
      </c:barChart>
      <c:catAx>
        <c:axId val="10285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2BA136"/>
                </a:solidFill>
                <a:latin typeface="Times New Roman" panose="02020603050405020304" pitchFamily="18" charset="0"/>
                <a:ea typeface="+mn-ea"/>
                <a:cs typeface="Times New Roman" panose="02020603050405020304" pitchFamily="18" charset="0"/>
              </a:defRPr>
            </a:pPr>
            <a:endParaRPr lang="en-US"/>
          </a:p>
        </c:txPr>
        <c:crossAx val="102846880"/>
        <c:crosses val="autoZero"/>
        <c:auto val="1"/>
        <c:lblAlgn val="ctr"/>
        <c:lblOffset val="100"/>
        <c:noMultiLvlLbl val="0"/>
      </c:catAx>
      <c:valAx>
        <c:axId val="102846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2BA136"/>
                </a:solidFill>
                <a:latin typeface="Times New Roman" panose="02020603050405020304" pitchFamily="18" charset="0"/>
                <a:ea typeface="+mn-ea"/>
                <a:cs typeface="Times New Roman" panose="02020603050405020304" pitchFamily="18" charset="0"/>
              </a:defRPr>
            </a:pPr>
            <a:endParaRPr lang="en-US"/>
          </a:p>
        </c:txPr>
        <c:crossAx val="102851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2BA136"/>
                </a:solidFill>
                <a:latin typeface="Times New Roman" panose="02020603050405020304" pitchFamily="18" charset="0"/>
                <a:cs typeface="Times New Roman" panose="02020603050405020304" pitchFamily="18" charset="0"/>
              </a:rPr>
              <a:t>Average of Performance</a:t>
            </a:r>
            <a:r>
              <a:rPr lang="en-US" sz="1600" b="1" baseline="0">
                <a:solidFill>
                  <a:srgbClr val="2BA136"/>
                </a:solidFill>
                <a:latin typeface="Times New Roman" panose="02020603050405020304" pitchFamily="18" charset="0"/>
                <a:cs typeface="Times New Roman" panose="02020603050405020304" pitchFamily="18" charset="0"/>
              </a:rPr>
              <a:t> </a:t>
            </a:r>
            <a:r>
              <a:rPr lang="en-US" sz="1600" b="1">
                <a:solidFill>
                  <a:srgbClr val="2BA136"/>
                </a:solidFill>
                <a:latin typeface="Times New Roman" panose="02020603050405020304" pitchFamily="18" charset="0"/>
                <a:cs typeface="Times New Roman" panose="02020603050405020304" pitchFamily="18" charset="0"/>
              </a:rPr>
              <a:t>Score By Employment</a:t>
            </a:r>
            <a:r>
              <a:rPr lang="en-US" sz="1600" b="1" baseline="0">
                <a:solidFill>
                  <a:srgbClr val="2BA136"/>
                </a:solidFill>
                <a:latin typeface="Times New Roman" panose="02020603050405020304" pitchFamily="18" charset="0"/>
                <a:cs typeface="Times New Roman" panose="02020603050405020304" pitchFamily="18" charset="0"/>
              </a:rPr>
              <a:t> Status</a:t>
            </a:r>
            <a:endParaRPr lang="en-US" sz="1600" b="1">
              <a:solidFill>
                <a:srgbClr val="2BA136"/>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BA136"/>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6E8AC"/>
          </a:solidFill>
          <a:ln w="19050">
            <a:solidFill>
              <a:schemeClr val="lt1"/>
            </a:solidFill>
          </a:ln>
          <a:effectLst/>
        </c:spPr>
      </c:pivotFmt>
      <c:pivotFmt>
        <c:idx val="2"/>
        <c:spPr>
          <a:solidFill>
            <a:srgbClr val="2BA13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0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BA136"/>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BA13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6E8AC"/>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BA136"/>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BA13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7F5DA"/>
          </a:solidFill>
          <a:ln w="19050">
            <a:solidFill>
              <a:schemeClr val="lt1"/>
            </a:solidFill>
          </a:ln>
          <a:effectLst/>
        </c:spPr>
      </c:pivotFmt>
      <c:pivotFmt>
        <c:idx val="11"/>
        <c:spPr>
          <a:solidFill>
            <a:srgbClr val="FF0000"/>
          </a:solidFill>
          <a:ln w="19050">
            <a:solidFill>
              <a:schemeClr val="lt1"/>
            </a:solidFill>
          </a:ln>
          <a:effectLst/>
        </c:spPr>
      </c:pivotFmt>
    </c:pivotFmts>
    <c:plotArea>
      <c:layout/>
      <c:pieChart>
        <c:varyColors val="1"/>
        <c:ser>
          <c:idx val="0"/>
          <c:order val="0"/>
          <c:tx>
            <c:strRef>
              <c:f>Analysis!$E$12</c:f>
              <c:strCache>
                <c:ptCount val="1"/>
                <c:pt idx="0">
                  <c:v>Total</c:v>
                </c:pt>
              </c:strCache>
            </c:strRef>
          </c:tx>
          <c:dPt>
            <c:idx val="0"/>
            <c:bubble3D val="0"/>
            <c:spPr>
              <a:solidFill>
                <a:srgbClr val="2BA136"/>
              </a:solidFill>
              <a:ln w="19050">
                <a:solidFill>
                  <a:schemeClr val="lt1"/>
                </a:solidFill>
              </a:ln>
              <a:effectLst/>
            </c:spPr>
            <c:extLst>
              <c:ext xmlns:c16="http://schemas.microsoft.com/office/drawing/2014/chart" uri="{C3380CC4-5D6E-409C-BE32-E72D297353CC}">
                <c16:uniqueId val="{00000001-5DB1-4D0D-8091-FC4EFFE8EC18}"/>
              </c:ext>
            </c:extLst>
          </c:dPt>
          <c:dPt>
            <c:idx val="1"/>
            <c:bubble3D val="0"/>
            <c:spPr>
              <a:solidFill>
                <a:srgbClr val="D7F5DA"/>
              </a:solidFill>
              <a:ln w="19050">
                <a:solidFill>
                  <a:schemeClr val="lt1"/>
                </a:solidFill>
              </a:ln>
              <a:effectLst/>
            </c:spPr>
            <c:extLst>
              <c:ext xmlns:c16="http://schemas.microsoft.com/office/drawing/2014/chart" uri="{C3380CC4-5D6E-409C-BE32-E72D297353CC}">
                <c16:uniqueId val="{00000003-5DB1-4D0D-8091-FC4EFFE8EC18}"/>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5DB1-4D0D-8091-FC4EFFE8EC18}"/>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DB1-4D0D-8091-FC4EFFE8EC1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BA136"/>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Analysis!$D$13:$D$16</c:f>
              <c:strCache>
                <c:ptCount val="3"/>
                <c:pt idx="0">
                  <c:v>Active</c:v>
                </c:pt>
                <c:pt idx="1">
                  <c:v>Left</c:v>
                </c:pt>
                <c:pt idx="2">
                  <c:v>Resigned</c:v>
                </c:pt>
              </c:strCache>
            </c:strRef>
          </c:cat>
          <c:val>
            <c:numRef>
              <c:f>Analysis!$E$13:$E$16</c:f>
              <c:numCache>
                <c:formatCode>0.00</c:formatCode>
                <c:ptCount val="3"/>
                <c:pt idx="0">
                  <c:v>67.353055835010053</c:v>
                </c:pt>
                <c:pt idx="1">
                  <c:v>68.307715860379673</c:v>
                </c:pt>
                <c:pt idx="2">
                  <c:v>71.7</c:v>
                </c:pt>
              </c:numCache>
            </c:numRef>
          </c:val>
          <c:extLst>
            <c:ext xmlns:c16="http://schemas.microsoft.com/office/drawing/2014/chart" uri="{C3380CC4-5D6E-409C-BE32-E72D297353CC}">
              <c16:uniqueId val="{00000006-5DB1-4D0D-8091-FC4EFFE8EC1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385651793525811"/>
          <c:y val="0.44320501603966173"/>
          <c:w val="0.21947681539807523"/>
          <c:h val="0.23437664041994752"/>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2BA136"/>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[HR_Analytics_Capstone_Raw_Data.xlsx]Analysis!PivotTable10</c:name>
    <c:fmtId val="25"/>
  </c:pivotSource>
  <c:chart>
    <c:title>
      <c:tx>
        <c:rich>
          <a:bodyPr rot="0" vert="horz"/>
          <a:lstStyle/>
          <a:p>
            <a:pPr>
              <a:defRPr/>
            </a:pPr>
            <a:r>
              <a:rPr lang="en-US" sz="1600" b="1">
                <a:solidFill>
                  <a:srgbClr val="2BA136"/>
                </a:solidFill>
              </a:rPr>
              <a:t>Bonus Payout by  Performance Band</a:t>
            </a:r>
          </a:p>
        </c:rich>
      </c:tx>
      <c:layout>
        <c:manualLayout>
          <c:xMode val="edge"/>
          <c:yMode val="edge"/>
          <c:x val="0.25637197239215304"/>
          <c:y val="3.3918154701074239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2BA136"/>
          </a:solidFill>
          <a:ln>
            <a:noFill/>
          </a:ln>
          <a:effectLst/>
        </c:spPr>
        <c:marker>
          <c:symbol val="none"/>
        </c:marker>
        <c:dLbl>
          <c:idx val="0"/>
          <c:spPr>
            <a:noFill/>
            <a:ln>
              <a:noFill/>
            </a:ln>
            <a:effectLst/>
          </c:spPr>
          <c:txPr>
            <a:bodyPr/>
            <a:lstStyle/>
            <a:p>
              <a:pPr>
                <a:defRPr sz="1400" b="1">
                  <a:solidFill>
                    <a:srgbClr val="2BA136"/>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72025371828522"/>
          <c:y val="0.15319444444444447"/>
          <c:w val="0.59155293088363958"/>
          <c:h val="0.72088764946048411"/>
        </c:manualLayout>
      </c:layout>
      <c:barChart>
        <c:barDir val="bar"/>
        <c:grouping val="clustered"/>
        <c:varyColors val="0"/>
        <c:ser>
          <c:idx val="0"/>
          <c:order val="0"/>
          <c:tx>
            <c:strRef>
              <c:f>Analysis!$E$19</c:f>
              <c:strCache>
                <c:ptCount val="1"/>
                <c:pt idx="0">
                  <c:v>Total</c:v>
                </c:pt>
              </c:strCache>
            </c:strRef>
          </c:tx>
          <c:spPr>
            <a:solidFill>
              <a:srgbClr val="2BA136"/>
            </a:solidFill>
            <a:ln>
              <a:noFill/>
            </a:ln>
            <a:effectLst/>
          </c:spPr>
          <c:invertIfNegative val="0"/>
          <c:dLbls>
            <c:spPr>
              <a:noFill/>
              <a:ln>
                <a:noFill/>
              </a:ln>
              <a:effectLst/>
            </c:spPr>
            <c:txPr>
              <a:bodyPr/>
              <a:lstStyle/>
              <a:p>
                <a:pPr>
                  <a:defRPr sz="1400" b="1">
                    <a:solidFill>
                      <a:srgbClr val="2BA136"/>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Analysis!$D$20:$D$25</c:f>
              <c:strCache>
                <c:ptCount val="5"/>
                <c:pt idx="0">
                  <c:v>Achieving</c:v>
                </c:pt>
                <c:pt idx="1">
                  <c:v>Exceeding</c:v>
                </c:pt>
                <c:pt idx="2">
                  <c:v>Outstanding</c:v>
                </c:pt>
                <c:pt idx="3">
                  <c:v>Developing</c:v>
                </c:pt>
                <c:pt idx="4">
                  <c:v>Needs Improvement</c:v>
                </c:pt>
              </c:strCache>
            </c:strRef>
          </c:cat>
          <c:val>
            <c:numRef>
              <c:f>Analysis!$E$20:$E$25</c:f>
              <c:numCache>
                <c:formatCode>General</c:formatCode>
                <c:ptCount val="5"/>
                <c:pt idx="0">
                  <c:v>2.1000000000000005</c:v>
                </c:pt>
                <c:pt idx="1">
                  <c:v>1.6800000000000004</c:v>
                </c:pt>
                <c:pt idx="2">
                  <c:v>1.08</c:v>
                </c:pt>
                <c:pt idx="3">
                  <c:v>0.88000000000000045</c:v>
                </c:pt>
                <c:pt idx="4">
                  <c:v>0</c:v>
                </c:pt>
              </c:numCache>
            </c:numRef>
          </c:val>
          <c:extLst>
            <c:ext xmlns:c16="http://schemas.microsoft.com/office/drawing/2014/chart" uri="{C3380CC4-5D6E-409C-BE32-E72D297353CC}">
              <c16:uniqueId val="{00000002-5C1F-4889-9F7E-962C1A003694}"/>
            </c:ext>
          </c:extLst>
        </c:ser>
        <c:dLbls>
          <c:dLblPos val="outEnd"/>
          <c:showLegendKey val="0"/>
          <c:showVal val="1"/>
          <c:showCatName val="0"/>
          <c:showSerName val="0"/>
          <c:showPercent val="0"/>
          <c:showBubbleSize val="0"/>
        </c:dLbls>
        <c:gapWidth val="62"/>
        <c:overlap val="70"/>
        <c:axId val="2030239040"/>
        <c:axId val="2030239520"/>
      </c:barChart>
      <c:catAx>
        <c:axId val="203023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sz="1400">
                <a:solidFill>
                  <a:srgbClr val="2BA136"/>
                </a:solidFill>
                <a:latin typeface="Times New Roman" panose="02020603050405020304" pitchFamily="18" charset="0"/>
                <a:cs typeface="Times New Roman" panose="02020603050405020304" pitchFamily="18" charset="0"/>
              </a:defRPr>
            </a:pPr>
            <a:endParaRPr lang="en-US"/>
          </a:p>
        </c:txPr>
        <c:crossAx val="2030239520"/>
        <c:crosses val="autoZero"/>
        <c:auto val="1"/>
        <c:lblAlgn val="ctr"/>
        <c:lblOffset val="100"/>
        <c:noMultiLvlLbl val="0"/>
      </c:catAx>
      <c:valAx>
        <c:axId val="2030239520"/>
        <c:scaling>
          <c:orientation val="minMax"/>
        </c:scaling>
        <c:delete val="0"/>
        <c:axPos val="b"/>
        <c:numFmt formatCode="General" sourceLinked="1"/>
        <c:majorTickMark val="none"/>
        <c:minorTickMark val="none"/>
        <c:tickLblPos val="nextTo"/>
        <c:spPr>
          <a:noFill/>
          <a:ln>
            <a:noFill/>
          </a:ln>
          <a:effectLst/>
        </c:spPr>
        <c:txPr>
          <a:bodyPr rot="-60000000" vert="horz"/>
          <a:lstStyle/>
          <a:p>
            <a:pPr>
              <a:defRPr sz="1200" b="1">
                <a:solidFill>
                  <a:srgbClr val="2BA136"/>
                </a:solidFill>
              </a:defRPr>
            </a:pPr>
            <a:endParaRPr lang="en-US"/>
          </a:p>
        </c:txPr>
        <c:crossAx val="2030239040"/>
        <c:crosses val="autoZero"/>
        <c:crossBetween val="between"/>
      </c:valAx>
      <c:spPr>
        <a:noFill/>
        <a:ln>
          <a:noFill/>
        </a:ln>
      </c:spPr>
    </c:plotArea>
    <c:plotVisOnly val="1"/>
    <c:dispBlanksAs val="gap"/>
    <c:showDLblsOverMax val="0"/>
    <c:extLst/>
  </c:chart>
  <c:spPr>
    <a:noFill/>
    <a:ln>
      <a:noFill/>
    </a:ln>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[HR_Analytics_Capstone_Raw_Data.xlsx]Analysis!PivotTable7</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solidFill>
                  <a:srgbClr val="2BA136"/>
                </a:solidFill>
              </a:rPr>
              <a:t>Atrition Rate By Department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A13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BA136"/>
          </a:solidFill>
          <a:ln>
            <a:noFill/>
          </a:ln>
          <a:effectLst/>
          <a:scene3d>
            <a:camera prst="orthographicFront"/>
            <a:lightRig rig="threePt" dir="t"/>
          </a:scene3d>
          <a:sp3d>
            <a:bevelB h="19050"/>
          </a:sp3d>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rgbClr val="2BA13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solidFill>
              <a:srgbClr val="2BA136"/>
            </a:solidFill>
            <a:ln>
              <a:noFill/>
            </a:ln>
            <a:effectLst/>
            <a:scene3d>
              <a:camera prst="orthographicFront"/>
              <a:lightRig rig="threePt" dir="t"/>
            </a:scene3d>
            <a:sp3d>
              <a:bevelB h="19050"/>
            </a:sp3d>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rgbClr val="2BA13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Analysis!$A$13:$A$34</c:f>
              <c:multiLvlStrCache>
                <c:ptCount val="18"/>
                <c:lvl>
                  <c:pt idx="0">
                    <c:v>Finance</c:v>
                  </c:pt>
                  <c:pt idx="1">
                    <c:v>Human Resources</c:v>
                  </c:pt>
                  <c:pt idx="2">
                    <c:v>Information Technology</c:v>
                  </c:pt>
                  <c:pt idx="3">
                    <c:v>Marketing</c:v>
                  </c:pt>
                  <c:pt idx="4">
                    <c:v>Operations</c:v>
                  </c:pt>
                  <c:pt idx="5">
                    <c:v>Sales</c:v>
                  </c:pt>
                  <c:pt idx="6">
                    <c:v>Finance</c:v>
                  </c:pt>
                  <c:pt idx="7">
                    <c:v>Human Resources</c:v>
                  </c:pt>
                  <c:pt idx="8">
                    <c:v>Information Technology</c:v>
                  </c:pt>
                  <c:pt idx="9">
                    <c:v>Marketing</c:v>
                  </c:pt>
                  <c:pt idx="10">
                    <c:v>Operations</c:v>
                  </c:pt>
                  <c:pt idx="11">
                    <c:v>Sales</c:v>
                  </c:pt>
                  <c:pt idx="12">
                    <c:v>Finance</c:v>
                  </c:pt>
                  <c:pt idx="13">
                    <c:v>Human Resources</c:v>
                  </c:pt>
                  <c:pt idx="14">
                    <c:v>Information Technology</c:v>
                  </c:pt>
                  <c:pt idx="15">
                    <c:v>Marketing</c:v>
                  </c:pt>
                  <c:pt idx="16">
                    <c:v>Operations</c:v>
                  </c:pt>
                  <c:pt idx="17">
                    <c:v>Sales</c:v>
                  </c:pt>
                </c:lvl>
                <c:lvl>
                  <c:pt idx="0">
                    <c:v>Active</c:v>
                  </c:pt>
                  <c:pt idx="6">
                    <c:v>Left</c:v>
                  </c:pt>
                  <c:pt idx="12">
                    <c:v>Resigned</c:v>
                  </c:pt>
                </c:lvl>
              </c:multiLvlStrCache>
            </c:multiLvlStrRef>
          </c:cat>
          <c:val>
            <c:numRef>
              <c:f>Analysis!$B$13:$B$34</c:f>
              <c:numCache>
                <c:formatCode>0%</c:formatCode>
                <c:ptCount val="18"/>
                <c:pt idx="0">
                  <c:v>8.2758620689655171E-2</c:v>
                </c:pt>
                <c:pt idx="1">
                  <c:v>9.6551724137931033E-2</c:v>
                </c:pt>
                <c:pt idx="2">
                  <c:v>0.18620689655172415</c:v>
                </c:pt>
                <c:pt idx="3">
                  <c:v>0.10344827586206896</c:v>
                </c:pt>
                <c:pt idx="4">
                  <c:v>0.15862068965517243</c:v>
                </c:pt>
                <c:pt idx="5">
                  <c:v>0.14482758620689656</c:v>
                </c:pt>
                <c:pt idx="6">
                  <c:v>2.7586206896551724E-2</c:v>
                </c:pt>
                <c:pt idx="7">
                  <c:v>6.8965517241379309E-3</c:v>
                </c:pt>
                <c:pt idx="8">
                  <c:v>3.4482758620689655E-2</c:v>
                </c:pt>
                <c:pt idx="9">
                  <c:v>2.0689655172413793E-2</c:v>
                </c:pt>
                <c:pt idx="10">
                  <c:v>3.4482758620689655E-2</c:v>
                </c:pt>
                <c:pt idx="11">
                  <c:v>3.4482758620689655E-2</c:v>
                </c:pt>
                <c:pt idx="12">
                  <c:v>6.8965517241379309E-3</c:v>
                </c:pt>
                <c:pt idx="13">
                  <c:v>1.3793103448275862E-2</c:v>
                </c:pt>
                <c:pt idx="14">
                  <c:v>6.8965517241379309E-3</c:v>
                </c:pt>
                <c:pt idx="15">
                  <c:v>1.3793103448275862E-2</c:v>
                </c:pt>
                <c:pt idx="16">
                  <c:v>6.8965517241379309E-3</c:v>
                </c:pt>
                <c:pt idx="17">
                  <c:v>2.0689655172413793E-2</c:v>
                </c:pt>
              </c:numCache>
            </c:numRef>
          </c:val>
          <c:extLst>
            <c:ext xmlns:c16="http://schemas.microsoft.com/office/drawing/2014/chart" uri="{C3380CC4-5D6E-409C-BE32-E72D297353CC}">
              <c16:uniqueId val="{00000000-EB7D-4599-8EE3-E41B124F134B}"/>
            </c:ext>
          </c:extLst>
        </c:ser>
        <c:dLbls>
          <c:dLblPos val="outEnd"/>
          <c:showLegendKey val="0"/>
          <c:showVal val="1"/>
          <c:showCatName val="0"/>
          <c:showSerName val="0"/>
          <c:showPercent val="0"/>
          <c:showBubbleSize val="0"/>
        </c:dLbls>
        <c:gapWidth val="57"/>
        <c:overlap val="64"/>
        <c:axId val="363033712"/>
        <c:axId val="363040912"/>
      </c:barChart>
      <c:catAx>
        <c:axId val="36303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baseline="0">
                <a:solidFill>
                  <a:srgbClr val="2BA136"/>
                </a:solidFill>
                <a:latin typeface="+mn-lt"/>
                <a:ea typeface="+mn-ea"/>
                <a:cs typeface="+mn-cs"/>
              </a:defRPr>
            </a:pPr>
            <a:endParaRPr lang="en-US"/>
          </a:p>
        </c:txPr>
        <c:crossAx val="363040912"/>
        <c:crosses val="autoZero"/>
        <c:auto val="0"/>
        <c:lblAlgn val="ctr"/>
        <c:lblOffset val="50"/>
        <c:noMultiLvlLbl val="1"/>
      </c:catAx>
      <c:valAx>
        <c:axId val="363040912"/>
        <c:scaling>
          <c:orientation val="minMax"/>
        </c:scaling>
        <c:delete val="1"/>
        <c:axPos val="l"/>
        <c:numFmt formatCode="0%" sourceLinked="1"/>
        <c:majorTickMark val="none"/>
        <c:minorTickMark val="none"/>
        <c:tickLblPos val="nextTo"/>
        <c:crossAx val="36303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5.png"/><Relationship Id="rId17" Type="http://schemas.openxmlformats.org/officeDocument/2006/relationships/image" Target="../media/image10.pn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hyperlink" Target="#dataset!A1"/><Relationship Id="rId5" Type="http://schemas.openxmlformats.org/officeDocument/2006/relationships/hyperlink" Target="#Analysis!A1"/><Relationship Id="rId15" Type="http://schemas.openxmlformats.org/officeDocument/2006/relationships/image" Target="../media/image8.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1271996</xdr:colOff>
      <xdr:row>12</xdr:row>
      <xdr:rowOff>155666</xdr:rowOff>
    </xdr:from>
    <xdr:to>
      <xdr:col>3</xdr:col>
      <xdr:colOff>1522367</xdr:colOff>
      <xdr:row>26</xdr:row>
      <xdr:rowOff>146141</xdr:rowOff>
    </xdr:to>
    <mc:AlternateContent xmlns:mc="http://schemas.openxmlformats.org/markup-compatibility/2006">
      <mc:Choice xmlns:a14="http://schemas.microsoft.com/office/drawing/2010/main" Requires="a14">
        <xdr:graphicFrame macro="">
          <xdr:nvGraphicFramePr>
            <xdr:cNvPr id="2" name="Bonus_Performance">
              <a:extLst>
                <a:ext uri="{FF2B5EF4-FFF2-40B4-BE49-F238E27FC236}">
                  <a16:creationId xmlns:a16="http://schemas.microsoft.com/office/drawing/2014/main" id="{F8E21FDB-38B9-FE6D-37DF-B7B6E9578745}"/>
                </a:ext>
              </a:extLst>
            </xdr:cNvPr>
            <xdr:cNvGraphicFramePr/>
          </xdr:nvGraphicFramePr>
          <xdr:xfrm>
            <a:off x="0" y="0"/>
            <a:ext cx="0" cy="0"/>
          </xdr:xfrm>
          <a:graphic>
            <a:graphicData uri="http://schemas.microsoft.com/office/drawing/2010/slicer">
              <sle:slicer xmlns:sle="http://schemas.microsoft.com/office/drawing/2010/slicer" name="Bonus_Performance"/>
            </a:graphicData>
          </a:graphic>
        </xdr:graphicFrame>
      </mc:Choice>
      <mc:Fallback>
        <xdr:sp macro="" textlink="">
          <xdr:nvSpPr>
            <xdr:cNvPr id="0" name=""/>
            <xdr:cNvSpPr>
              <a:spLocks noTextEdit="1"/>
            </xdr:cNvSpPr>
          </xdr:nvSpPr>
          <xdr:spPr>
            <a:xfrm>
              <a:off x="4442460" y="22783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173627</xdr:colOff>
      <xdr:row>15</xdr:row>
      <xdr:rowOff>105047</xdr:rowOff>
    </xdr:from>
    <xdr:to>
      <xdr:col>4</xdr:col>
      <xdr:colOff>151856</xdr:colOff>
      <xdr:row>29</xdr:row>
      <xdr:rowOff>95522</xdr:rowOff>
    </xdr:to>
    <mc:AlternateContent xmlns:mc="http://schemas.openxmlformats.org/markup-compatibility/2006">
      <mc:Choice xmlns:a14="http://schemas.microsoft.com/office/drawing/2010/main" Requires="a14">
        <xdr:graphicFrame macro="">
          <xdr:nvGraphicFramePr>
            <xdr:cNvPr id="3" name="Months (Hire_Date)">
              <a:extLst>
                <a:ext uri="{FF2B5EF4-FFF2-40B4-BE49-F238E27FC236}">
                  <a16:creationId xmlns:a16="http://schemas.microsoft.com/office/drawing/2014/main" id="{2BE77D65-FF22-4B7B-9AA6-0C50BA19B48F}"/>
                </a:ext>
              </a:extLst>
            </xdr:cNvPr>
            <xdr:cNvGraphicFramePr/>
          </xdr:nvGraphicFramePr>
          <xdr:xfrm>
            <a:off x="0" y="0"/>
            <a:ext cx="0" cy="0"/>
          </xdr:xfrm>
          <a:graphic>
            <a:graphicData uri="http://schemas.microsoft.com/office/drawing/2010/slicer">
              <sle:slicer xmlns:sle="http://schemas.microsoft.com/office/drawing/2010/slicer" name="Months (Hire_Date)"/>
            </a:graphicData>
          </a:graphic>
        </xdr:graphicFrame>
      </mc:Choice>
      <mc:Fallback>
        <xdr:sp macro="" textlink="">
          <xdr:nvSpPr>
            <xdr:cNvPr id="0" name=""/>
            <xdr:cNvSpPr>
              <a:spLocks noTextEdit="1"/>
            </xdr:cNvSpPr>
          </xdr:nvSpPr>
          <xdr:spPr>
            <a:xfrm>
              <a:off x="4922520" y="27584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52509</xdr:colOff>
      <xdr:row>6</xdr:row>
      <xdr:rowOff>113768</xdr:rowOff>
    </xdr:from>
    <xdr:to>
      <xdr:col>36</xdr:col>
      <xdr:colOff>180474</xdr:colOff>
      <xdr:row>63</xdr:row>
      <xdr:rowOff>1251</xdr:rowOff>
    </xdr:to>
    <xdr:grpSp>
      <xdr:nvGrpSpPr>
        <xdr:cNvPr id="53" name="Group 52">
          <a:extLst>
            <a:ext uri="{FF2B5EF4-FFF2-40B4-BE49-F238E27FC236}">
              <a16:creationId xmlns:a16="http://schemas.microsoft.com/office/drawing/2014/main" id="{F141F305-5CAD-955A-EE70-6DDD71B18B42}"/>
            </a:ext>
          </a:extLst>
        </xdr:cNvPr>
        <xdr:cNvGrpSpPr/>
      </xdr:nvGrpSpPr>
      <xdr:grpSpPr>
        <a:xfrm>
          <a:off x="4263562" y="1196610"/>
          <a:ext cx="17573754" cy="10174483"/>
          <a:chOff x="4263562" y="1196610"/>
          <a:chExt cx="17573754" cy="10174483"/>
        </a:xfrm>
      </xdr:grpSpPr>
      <xdr:grpSp>
        <xdr:nvGrpSpPr>
          <xdr:cNvPr id="27" name="Group 26">
            <a:extLst>
              <a:ext uri="{FF2B5EF4-FFF2-40B4-BE49-F238E27FC236}">
                <a16:creationId xmlns:a16="http://schemas.microsoft.com/office/drawing/2014/main" id="{635A1C95-D05A-D9E6-FF2C-422FE768B5A0}"/>
              </a:ext>
            </a:extLst>
          </xdr:cNvPr>
          <xdr:cNvGrpSpPr/>
        </xdr:nvGrpSpPr>
        <xdr:grpSpPr>
          <a:xfrm>
            <a:off x="4263562" y="1196610"/>
            <a:ext cx="17573754" cy="10174483"/>
            <a:chOff x="4263562" y="1196610"/>
            <a:chExt cx="17573754" cy="10174483"/>
          </a:xfrm>
        </xdr:grpSpPr>
        <xdr:grpSp>
          <xdr:nvGrpSpPr>
            <xdr:cNvPr id="61" name="Group 60">
              <a:extLst>
                <a:ext uri="{FF2B5EF4-FFF2-40B4-BE49-F238E27FC236}">
                  <a16:creationId xmlns:a16="http://schemas.microsoft.com/office/drawing/2014/main" id="{1EE81D6B-E9A4-4860-3C21-1828099C15B0}"/>
                </a:ext>
              </a:extLst>
            </xdr:cNvPr>
            <xdr:cNvGrpSpPr/>
          </xdr:nvGrpSpPr>
          <xdr:grpSpPr>
            <a:xfrm>
              <a:off x="4263562" y="1196610"/>
              <a:ext cx="17573754" cy="10174483"/>
              <a:chOff x="1034782" y="385080"/>
              <a:chExt cx="18064231" cy="10465940"/>
            </a:xfrm>
          </xdr:grpSpPr>
          <xdr:sp macro="" textlink="">
            <xdr:nvSpPr>
              <xdr:cNvPr id="21" name="Rectangle 20">
                <a:extLst>
                  <a:ext uri="{FF2B5EF4-FFF2-40B4-BE49-F238E27FC236}">
                    <a16:creationId xmlns:a16="http://schemas.microsoft.com/office/drawing/2014/main" id="{80E65635-D3D5-0465-04FC-416574187518}"/>
                  </a:ext>
                </a:extLst>
              </xdr:cNvPr>
              <xdr:cNvSpPr/>
            </xdr:nvSpPr>
            <xdr:spPr>
              <a:xfrm>
                <a:off x="1034782" y="385080"/>
                <a:ext cx="18064231" cy="10465940"/>
              </a:xfrm>
              <a:prstGeom prst="rect">
                <a:avLst/>
              </a:prstGeom>
              <a:solidFill>
                <a:srgbClr val="D7F5DA"/>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 name="Rectangle: Rounded Corners 1">
                <a:extLst>
                  <a:ext uri="{FF2B5EF4-FFF2-40B4-BE49-F238E27FC236}">
                    <a16:creationId xmlns:a16="http://schemas.microsoft.com/office/drawing/2014/main" id="{0F063037-39A9-B6EC-DBD5-14814234D598}"/>
                  </a:ext>
                </a:extLst>
              </xdr:cNvPr>
              <xdr:cNvSpPr/>
            </xdr:nvSpPr>
            <xdr:spPr>
              <a:xfrm>
                <a:off x="1153298" y="494271"/>
                <a:ext cx="1311875" cy="10152746"/>
              </a:xfrm>
              <a:prstGeom prst="roundRect">
                <a:avLst>
                  <a:gd name="adj" fmla="val 6667"/>
                </a:avLst>
              </a:prstGeom>
              <a:solidFill>
                <a:srgbClr val="2BA13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3" name="Rectangle: Rounded Corners 2">
                <a:extLst>
                  <a:ext uri="{FF2B5EF4-FFF2-40B4-BE49-F238E27FC236}">
                    <a16:creationId xmlns:a16="http://schemas.microsoft.com/office/drawing/2014/main" id="{0BA63F39-0C62-826E-354A-943DB34832E7}"/>
                  </a:ext>
                </a:extLst>
              </xdr:cNvPr>
              <xdr:cNvSpPr/>
            </xdr:nvSpPr>
            <xdr:spPr>
              <a:xfrm>
                <a:off x="2621396" y="536636"/>
                <a:ext cx="16312718" cy="926757"/>
              </a:xfrm>
              <a:prstGeom prst="roundRect">
                <a:avLst>
                  <a:gd name="adj" fmla="val 8975"/>
                </a:avLst>
              </a:prstGeom>
              <a:solidFill>
                <a:srgbClr val="2BA13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4" name="Rectangle: Rounded Corners 3">
                <a:extLst>
                  <a:ext uri="{FF2B5EF4-FFF2-40B4-BE49-F238E27FC236}">
                    <a16:creationId xmlns:a16="http://schemas.microsoft.com/office/drawing/2014/main" id="{FE479A87-C48D-92D0-6475-606C287F7527}"/>
                  </a:ext>
                </a:extLst>
              </xdr:cNvPr>
              <xdr:cNvSpPr/>
            </xdr:nvSpPr>
            <xdr:spPr>
              <a:xfrm>
                <a:off x="2601979" y="1842333"/>
                <a:ext cx="3078304" cy="1471926"/>
              </a:xfrm>
              <a:prstGeom prst="roundRect">
                <a:avLst>
                  <a:gd name="adj" fmla="val 4815"/>
                </a:avLst>
              </a:prstGeom>
              <a:solidFill>
                <a:srgbClr val="A6E8AC"/>
              </a:solidFill>
              <a:ln>
                <a:noFill/>
              </a:ln>
              <a:effectLst>
                <a:glow rad="101600">
                  <a:srgbClr val="2BA136">
                    <a:alpha val="60000"/>
                  </a:srgb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6" name="Rectangle: Rounded Corners 5">
                <a:extLst>
                  <a:ext uri="{FF2B5EF4-FFF2-40B4-BE49-F238E27FC236}">
                    <a16:creationId xmlns:a16="http://schemas.microsoft.com/office/drawing/2014/main" id="{B936A89D-727D-A7BE-70E1-F40B5DA36E43}"/>
                  </a:ext>
                </a:extLst>
              </xdr:cNvPr>
              <xdr:cNvSpPr/>
            </xdr:nvSpPr>
            <xdr:spPr>
              <a:xfrm>
                <a:off x="5850141" y="1826314"/>
                <a:ext cx="3078303" cy="1493697"/>
              </a:xfrm>
              <a:prstGeom prst="roundRect">
                <a:avLst>
                  <a:gd name="adj" fmla="val 7178"/>
                </a:avLst>
              </a:prstGeom>
              <a:solidFill>
                <a:srgbClr val="A6E8AC"/>
              </a:solidFill>
              <a:ln>
                <a:noFill/>
              </a:ln>
              <a:effectLst>
                <a:glow rad="101600">
                  <a:srgbClr val="2BA136">
                    <a:alpha val="60000"/>
                  </a:srgb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Analysis!B4">
            <xdr:nvSpPr>
              <xdr:cNvPr id="8" name="TextBox 7">
                <a:extLst>
                  <a:ext uri="{FF2B5EF4-FFF2-40B4-BE49-F238E27FC236}">
                    <a16:creationId xmlns:a16="http://schemas.microsoft.com/office/drawing/2014/main" id="{30B8D5EE-9B76-B47F-A4C3-624E5CFE3BB5}"/>
                  </a:ext>
                </a:extLst>
              </xdr:cNvPr>
              <xdr:cNvSpPr txBox="1"/>
            </xdr:nvSpPr>
            <xdr:spPr>
              <a:xfrm>
                <a:off x="2873712" y="2538964"/>
                <a:ext cx="2471352" cy="619405"/>
              </a:xfrm>
              <a:prstGeom prst="rect">
                <a:avLst/>
              </a:prstGeom>
              <a:solidFill>
                <a:srgbClr val="A6E8AC"/>
              </a:solidFill>
              <a:ln w="9525" cmpd="sng">
                <a:noFill/>
              </a:ln>
              <a:effectLst>
                <a:glow rad="101600">
                  <a:srgbClr val="2BA136">
                    <a:alpha val="6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108D6A-DAEA-4032-B1A1-F1A3B076768C}" type="TxLink">
                  <a:rPr lang="en-US" sz="3600" b="1" i="0" u="none" strike="noStrike">
                    <a:solidFill>
                      <a:srgbClr val="2BA136"/>
                    </a:solidFill>
                    <a:latin typeface="Times New Roman" panose="02020603050405020304" pitchFamily="18" charset="0"/>
                    <a:cs typeface="Times New Roman" panose="02020603050405020304" pitchFamily="18" charset="0"/>
                  </a:rPr>
                  <a:pPr algn="ctr"/>
                  <a:t>145</a:t>
                </a:fld>
                <a:endParaRPr lang="en-GB" sz="3600" b="1">
                  <a:solidFill>
                    <a:srgbClr val="2BA136"/>
                  </a:solidFill>
                  <a:latin typeface="Times New Roman" panose="02020603050405020304" pitchFamily="18" charset="0"/>
                  <a:cs typeface="Times New Roman" panose="02020603050405020304" pitchFamily="18" charset="0"/>
                </a:endParaRPr>
              </a:p>
            </xdr:txBody>
          </xdr:sp>
          <xdr:sp macro="" textlink="">
            <xdr:nvSpPr>
              <xdr:cNvPr id="9" name="TextBox 8">
                <a:extLst>
                  <a:ext uri="{FF2B5EF4-FFF2-40B4-BE49-F238E27FC236}">
                    <a16:creationId xmlns:a16="http://schemas.microsoft.com/office/drawing/2014/main" id="{EDF156B8-4C63-1739-A41B-0F16C780FC27}"/>
                  </a:ext>
                </a:extLst>
              </xdr:cNvPr>
              <xdr:cNvSpPr txBox="1"/>
            </xdr:nvSpPr>
            <xdr:spPr>
              <a:xfrm>
                <a:off x="2689065" y="2125128"/>
                <a:ext cx="2808809" cy="40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rgbClr val="2BA136"/>
                    </a:solidFill>
                    <a:latin typeface="Times New Roman" panose="02020603050405020304" pitchFamily="18" charset="0"/>
                    <a:cs typeface="Times New Roman" panose="02020603050405020304" pitchFamily="18" charset="0"/>
                  </a:rPr>
                  <a:t>Total</a:t>
                </a:r>
                <a:r>
                  <a:rPr lang="en-GB" sz="2000" b="1" baseline="0">
                    <a:solidFill>
                      <a:srgbClr val="2BA136"/>
                    </a:solidFill>
                    <a:latin typeface="Times New Roman" panose="02020603050405020304" pitchFamily="18" charset="0"/>
                    <a:cs typeface="Times New Roman" panose="02020603050405020304" pitchFamily="18" charset="0"/>
                  </a:rPr>
                  <a:t> No. of Employee</a:t>
                </a:r>
                <a:endParaRPr lang="en-GB" sz="2000" b="1">
                  <a:solidFill>
                    <a:srgbClr val="2BA136"/>
                  </a:solidFill>
                  <a:latin typeface="Times New Roman" panose="02020603050405020304" pitchFamily="18" charset="0"/>
                  <a:cs typeface="Times New Roman" panose="02020603050405020304" pitchFamily="18" charset="0"/>
                </a:endParaRPr>
              </a:p>
            </xdr:txBody>
          </xdr:sp>
          <xdr:sp macro="" textlink="Analysis!E10">
            <xdr:nvSpPr>
              <xdr:cNvPr id="11" name="TextBox 10">
                <a:extLst>
                  <a:ext uri="{FF2B5EF4-FFF2-40B4-BE49-F238E27FC236}">
                    <a16:creationId xmlns:a16="http://schemas.microsoft.com/office/drawing/2014/main" id="{7E54C4F1-AAEC-1EDE-2651-4C89513D5308}"/>
                  </a:ext>
                </a:extLst>
              </xdr:cNvPr>
              <xdr:cNvSpPr txBox="1"/>
            </xdr:nvSpPr>
            <xdr:spPr>
              <a:xfrm>
                <a:off x="5927757" y="2567719"/>
                <a:ext cx="2947559" cy="629376"/>
              </a:xfrm>
              <a:prstGeom prst="rect">
                <a:avLst/>
              </a:prstGeom>
              <a:solidFill>
                <a:srgbClr val="A6E8AC"/>
              </a:solidFill>
              <a:ln w="9525" cmpd="sng">
                <a:noFill/>
              </a:ln>
              <a:effectLst>
                <a:glow rad="101600">
                  <a:srgbClr val="2BA136">
                    <a:alpha val="6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B12D468-DA78-49AE-B464-508E39008523}" type="TxLink">
                  <a:rPr lang="en-US" sz="3600" b="1" i="0" u="none" strike="noStrike">
                    <a:solidFill>
                      <a:srgbClr val="2BA136"/>
                    </a:solidFill>
                    <a:latin typeface="Calibri"/>
                    <a:ea typeface="+mn-ea"/>
                    <a:cs typeface="Calibri"/>
                  </a:rPr>
                  <a:t> $11,931,095 </a:t>
                </a:fld>
                <a:endParaRPr lang="en-GB" sz="3600" b="1" i="0" u="none" strike="noStrike">
                  <a:solidFill>
                    <a:srgbClr val="2BA136"/>
                  </a:solidFill>
                  <a:latin typeface="Times New Roman" panose="02020603050405020304" pitchFamily="18" charset="0"/>
                  <a:ea typeface="+mn-ea"/>
                  <a:cs typeface="Times New Roman" panose="02020603050405020304" pitchFamily="18" charset="0"/>
                </a:endParaRPr>
              </a:p>
            </xdr:txBody>
          </xdr:sp>
          <xdr:sp macro="" textlink="">
            <xdr:nvSpPr>
              <xdr:cNvPr id="12" name="TextBox 11">
                <a:extLst>
                  <a:ext uri="{FF2B5EF4-FFF2-40B4-BE49-F238E27FC236}">
                    <a16:creationId xmlns:a16="http://schemas.microsoft.com/office/drawing/2014/main" id="{2DA364CE-9732-3BB2-472E-2EB5F024CF47}"/>
                  </a:ext>
                </a:extLst>
              </xdr:cNvPr>
              <xdr:cNvSpPr txBox="1"/>
            </xdr:nvSpPr>
            <xdr:spPr>
              <a:xfrm>
                <a:off x="5973787" y="2125130"/>
                <a:ext cx="2817046" cy="433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baseline="0">
                    <a:solidFill>
                      <a:srgbClr val="2BA136"/>
                    </a:solidFill>
                    <a:latin typeface="Times New Roman" panose="02020603050405020304" pitchFamily="18" charset="0"/>
                    <a:cs typeface="Times New Roman" panose="02020603050405020304" pitchFamily="18" charset="0"/>
                  </a:rPr>
                  <a:t>Total Salary</a:t>
                </a:r>
                <a:endParaRPr lang="en-GB" sz="2000" b="1">
                  <a:solidFill>
                    <a:srgbClr val="2BA136"/>
                  </a:solidFill>
                  <a:latin typeface="Times New Roman" panose="02020603050405020304" pitchFamily="18" charset="0"/>
                  <a:cs typeface="Times New Roman" panose="02020603050405020304" pitchFamily="18" charset="0"/>
                </a:endParaRPr>
              </a:p>
            </xdr:txBody>
          </xdr:sp>
          <xdr:sp macro="" textlink="">
            <xdr:nvSpPr>
              <xdr:cNvPr id="16" name="Rectangle: Rounded Corners 15">
                <a:extLst>
                  <a:ext uri="{FF2B5EF4-FFF2-40B4-BE49-F238E27FC236}">
                    <a16:creationId xmlns:a16="http://schemas.microsoft.com/office/drawing/2014/main" id="{58B47AB7-A040-98DC-5DC2-80F1B8BB4666}"/>
                  </a:ext>
                </a:extLst>
              </xdr:cNvPr>
              <xdr:cNvSpPr/>
            </xdr:nvSpPr>
            <xdr:spPr>
              <a:xfrm>
                <a:off x="2663409" y="3507774"/>
                <a:ext cx="6417641" cy="3508377"/>
              </a:xfrm>
              <a:prstGeom prst="roundRect">
                <a:avLst>
                  <a:gd name="adj" fmla="val 2708"/>
                </a:avLst>
              </a:prstGeom>
              <a:solidFill>
                <a:srgbClr val="A6E8A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7" name="Chart 16">
                <a:extLst>
                  <a:ext uri="{FF2B5EF4-FFF2-40B4-BE49-F238E27FC236}">
                    <a16:creationId xmlns:a16="http://schemas.microsoft.com/office/drawing/2014/main" id="{5EBD2F36-322B-4A1F-AB11-8EC3125A3407}"/>
                  </a:ext>
                </a:extLst>
              </xdr:cNvPr>
              <xdr:cNvGraphicFramePr>
                <a:graphicFrameLocks/>
              </xdr:cNvGraphicFramePr>
            </xdr:nvGraphicFramePr>
            <xdr:xfrm>
              <a:off x="2744162" y="3578107"/>
              <a:ext cx="6140638" cy="3337403"/>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8" name="Rectangle: Rounded Corners 17">
                <a:extLst>
                  <a:ext uri="{FF2B5EF4-FFF2-40B4-BE49-F238E27FC236}">
                    <a16:creationId xmlns:a16="http://schemas.microsoft.com/office/drawing/2014/main" id="{0F058F3C-6D8D-53A3-D198-2627CC843221}"/>
                  </a:ext>
                </a:extLst>
              </xdr:cNvPr>
              <xdr:cNvSpPr/>
            </xdr:nvSpPr>
            <xdr:spPr>
              <a:xfrm>
                <a:off x="2666525" y="7129615"/>
                <a:ext cx="5868574" cy="3550430"/>
              </a:xfrm>
              <a:prstGeom prst="roundRect">
                <a:avLst>
                  <a:gd name="adj" fmla="val 1967"/>
                </a:avLst>
              </a:prstGeom>
              <a:solidFill>
                <a:srgbClr val="A6E8A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19" name="Rectangle: Rounded Corners 18">
                <a:extLst>
                  <a:ext uri="{FF2B5EF4-FFF2-40B4-BE49-F238E27FC236}">
                    <a16:creationId xmlns:a16="http://schemas.microsoft.com/office/drawing/2014/main" id="{A3587608-6F8A-6F82-8382-A5B95CB26B43}"/>
                  </a:ext>
                </a:extLst>
              </xdr:cNvPr>
              <xdr:cNvSpPr/>
            </xdr:nvSpPr>
            <xdr:spPr>
              <a:xfrm>
                <a:off x="9204695" y="3487646"/>
                <a:ext cx="7376673" cy="3508377"/>
              </a:xfrm>
              <a:prstGeom prst="roundRect">
                <a:avLst>
                  <a:gd name="adj" fmla="val 2708"/>
                </a:avLst>
              </a:prstGeom>
              <a:solidFill>
                <a:srgbClr val="A6E8A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graphicFrame macro="">
            <xdr:nvGraphicFramePr>
              <xdr:cNvPr id="25" name="Chart 24">
                <a:extLst>
                  <a:ext uri="{FF2B5EF4-FFF2-40B4-BE49-F238E27FC236}">
                    <a16:creationId xmlns:a16="http://schemas.microsoft.com/office/drawing/2014/main" id="{D0B1D09D-3055-4F3C-8321-EE07789EC85A}"/>
                  </a:ext>
                </a:extLst>
              </xdr:cNvPr>
              <xdr:cNvGraphicFramePr>
                <a:graphicFrameLocks/>
              </xdr:cNvGraphicFramePr>
            </xdr:nvGraphicFramePr>
            <xdr:xfrm>
              <a:off x="9511982" y="3593562"/>
              <a:ext cx="6757748" cy="323723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0" name="Rectangle: Rounded Corners 29">
                <a:extLst>
                  <a:ext uri="{FF2B5EF4-FFF2-40B4-BE49-F238E27FC236}">
                    <a16:creationId xmlns:a16="http://schemas.microsoft.com/office/drawing/2014/main" id="{FFC49568-3C21-E6C4-83F7-CB236414CD2E}"/>
                  </a:ext>
                </a:extLst>
              </xdr:cNvPr>
              <xdr:cNvSpPr/>
            </xdr:nvSpPr>
            <xdr:spPr>
              <a:xfrm>
                <a:off x="8678485" y="7137164"/>
                <a:ext cx="7900164" cy="3508376"/>
              </a:xfrm>
              <a:prstGeom prst="roundRect">
                <a:avLst>
                  <a:gd name="adj" fmla="val 2708"/>
                </a:avLst>
              </a:prstGeom>
              <a:solidFill>
                <a:srgbClr val="A6E8A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1" name="Chart 30">
                <a:extLst>
                  <a:ext uri="{FF2B5EF4-FFF2-40B4-BE49-F238E27FC236}">
                    <a16:creationId xmlns:a16="http://schemas.microsoft.com/office/drawing/2014/main" id="{550DCA1F-6D80-FEFE-55F0-900BEE086EE7}"/>
                  </a:ext>
                </a:extLst>
              </xdr:cNvPr>
              <xdr:cNvGraphicFramePr>
                <a:graphicFrameLocks/>
              </xdr:cNvGraphicFramePr>
            </xdr:nvGraphicFramePr>
            <xdr:xfrm>
              <a:off x="2770087" y="7271835"/>
              <a:ext cx="5704313" cy="325161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2" name="Chart 31">
                <a:extLst>
                  <a:ext uri="{FF2B5EF4-FFF2-40B4-BE49-F238E27FC236}">
                    <a16:creationId xmlns:a16="http://schemas.microsoft.com/office/drawing/2014/main" id="{30FD1408-3801-8BC9-28FE-6EB742BADC21}"/>
                  </a:ext>
                </a:extLst>
              </xdr:cNvPr>
              <xdr:cNvGraphicFramePr>
                <a:graphicFrameLocks/>
              </xdr:cNvGraphicFramePr>
            </xdr:nvGraphicFramePr>
            <xdr:xfrm>
              <a:off x="9026056" y="7224506"/>
              <a:ext cx="7429025" cy="3264438"/>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33" name="Years 1">
                    <a:extLst>
                      <a:ext uri="{FF2B5EF4-FFF2-40B4-BE49-F238E27FC236}">
                        <a16:creationId xmlns:a16="http://schemas.microsoft.com/office/drawing/2014/main" id="{B69E2E26-C3E2-45FC-9186-E2B1EBB8EB92}"/>
                      </a:ext>
                    </a:extLst>
                  </xdr:cNvPr>
                  <xdr:cNvGraphicFramePr/>
                </xdr:nvGraphicFramePr>
                <xdr:xfrm>
                  <a:off x="15821658" y="1794455"/>
                  <a:ext cx="3213267" cy="1567656"/>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18648947" y="2566737"/>
                    <a:ext cx="3126021" cy="152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4" name="Years_of_Service 1">
                    <a:extLst>
                      <a:ext uri="{FF2B5EF4-FFF2-40B4-BE49-F238E27FC236}">
                        <a16:creationId xmlns:a16="http://schemas.microsoft.com/office/drawing/2014/main" id="{2187B486-FBBC-4164-A18B-5690D8C5B588}"/>
                      </a:ext>
                    </a:extLst>
                  </xdr:cNvPr>
                  <xdr:cNvGraphicFramePr/>
                </xdr:nvGraphicFramePr>
                <xdr:xfrm>
                  <a:off x="16687375" y="3506501"/>
                  <a:ext cx="2287963" cy="1567655"/>
                </xdr:xfrm>
                <a:graphic>
                  <a:graphicData uri="http://schemas.microsoft.com/office/drawing/2010/slicer">
                    <sle:slicer xmlns:sle="http://schemas.microsoft.com/office/drawing/2010/slicer" name="Years_of_Service 1"/>
                  </a:graphicData>
                </a:graphic>
              </xdr:graphicFrame>
            </mc:Choice>
            <mc:Fallback>
              <xdr:sp macro="" textlink="">
                <xdr:nvSpPr>
                  <xdr:cNvPr id="0" name=""/>
                  <xdr:cNvSpPr>
                    <a:spLocks noTextEdit="1"/>
                  </xdr:cNvSpPr>
                </xdr:nvSpPr>
                <xdr:spPr>
                  <a:xfrm>
                    <a:off x="19491158" y="4231105"/>
                    <a:ext cx="2225841" cy="1523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5" name="TextBox 34">
                <a:extLst>
                  <a:ext uri="{FF2B5EF4-FFF2-40B4-BE49-F238E27FC236}">
                    <a16:creationId xmlns:a16="http://schemas.microsoft.com/office/drawing/2014/main" id="{08CC3653-9117-E1BA-AF37-43077EF03BC2}"/>
                  </a:ext>
                </a:extLst>
              </xdr:cNvPr>
              <xdr:cNvSpPr txBox="1"/>
            </xdr:nvSpPr>
            <xdr:spPr>
              <a:xfrm>
                <a:off x="4031426" y="699828"/>
                <a:ext cx="9360113" cy="682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a:solidFill>
                      <a:schemeClr val="bg1"/>
                    </a:solidFill>
                    <a:latin typeface="Times New Roman" panose="02020603050405020304" pitchFamily="18" charset="0"/>
                    <a:cs typeface="Times New Roman" panose="02020603050405020304" pitchFamily="18" charset="0"/>
                  </a:rPr>
                  <a:t>HR Analysis Dashboard</a:t>
                </a:r>
              </a:p>
            </xdr:txBody>
          </xdr:sp>
          <xdr:pic>
            <xdr:nvPicPr>
              <xdr:cNvPr id="39" name="Graphic 38" descr="Bar chart with solid fill">
                <a:hlinkClick xmlns:r="http://schemas.openxmlformats.org/officeDocument/2006/relationships" r:id="rId5"/>
                <a:extLst>
                  <a:ext uri="{FF2B5EF4-FFF2-40B4-BE49-F238E27FC236}">
                    <a16:creationId xmlns:a16="http://schemas.microsoft.com/office/drawing/2014/main" id="{1F81211D-AED7-66A5-A442-C8A0CF32A50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47459" y="3815838"/>
                <a:ext cx="928389" cy="906629"/>
              </a:xfrm>
              <a:prstGeom prst="rect">
                <a:avLst/>
              </a:prstGeom>
            </xdr:spPr>
          </xdr:pic>
          <xdr:pic>
            <xdr:nvPicPr>
              <xdr:cNvPr id="43" name="Graphic 42" descr="Building with solid fill">
                <a:hlinkClick xmlns:r="http://schemas.openxmlformats.org/officeDocument/2006/relationships" r:id="rId8"/>
                <a:extLst>
                  <a:ext uri="{FF2B5EF4-FFF2-40B4-BE49-F238E27FC236}">
                    <a16:creationId xmlns:a16="http://schemas.microsoft.com/office/drawing/2014/main" id="{821F09FD-9E98-8F51-994C-7CB074A7BC9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47461" y="5100206"/>
                <a:ext cx="821464" cy="851632"/>
              </a:xfrm>
              <a:prstGeom prst="rect">
                <a:avLst/>
              </a:prstGeom>
            </xdr:spPr>
          </xdr:pic>
          <xdr:pic>
            <xdr:nvPicPr>
              <xdr:cNvPr id="47" name="Graphic 46" descr="CheckList with solid fill">
                <a:hlinkClick xmlns:r="http://schemas.openxmlformats.org/officeDocument/2006/relationships" r:id="rId11"/>
                <a:extLst>
                  <a:ext uri="{FF2B5EF4-FFF2-40B4-BE49-F238E27FC236}">
                    <a16:creationId xmlns:a16="http://schemas.microsoft.com/office/drawing/2014/main" id="{A8ED65CD-F3D6-05C7-3B0C-4FC080FF037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41514" y="2388973"/>
                <a:ext cx="586806" cy="1126135"/>
              </a:xfrm>
              <a:prstGeom prst="rect">
                <a:avLst/>
              </a:prstGeom>
            </xdr:spPr>
          </xdr:pic>
          <xdr:sp macro="" textlink="">
            <xdr:nvSpPr>
              <xdr:cNvPr id="58" name="TextBox 57">
                <a:extLst>
                  <a:ext uri="{FF2B5EF4-FFF2-40B4-BE49-F238E27FC236}">
                    <a16:creationId xmlns:a16="http://schemas.microsoft.com/office/drawing/2014/main" id="{59CAF2A4-2B8C-FC2A-1F74-D9410B3AD3E8}"/>
                  </a:ext>
                </a:extLst>
              </xdr:cNvPr>
              <xdr:cNvSpPr txBox="1"/>
            </xdr:nvSpPr>
            <xdr:spPr>
              <a:xfrm>
                <a:off x="1482810" y="3501081"/>
                <a:ext cx="926757" cy="24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solidFill>
                  </a:rPr>
                  <a:t>Dataset</a:t>
                </a:r>
              </a:p>
            </xdr:txBody>
          </xdr:sp>
          <xdr:sp macro="" textlink="">
            <xdr:nvSpPr>
              <xdr:cNvPr id="59" name="TextBox 58">
                <a:extLst>
                  <a:ext uri="{FF2B5EF4-FFF2-40B4-BE49-F238E27FC236}">
                    <a16:creationId xmlns:a16="http://schemas.microsoft.com/office/drawing/2014/main" id="{8D5F674F-45BE-9112-BD50-B92F1486617A}"/>
                  </a:ext>
                </a:extLst>
              </xdr:cNvPr>
              <xdr:cNvSpPr txBox="1"/>
            </xdr:nvSpPr>
            <xdr:spPr>
              <a:xfrm>
                <a:off x="1511643" y="4662616"/>
                <a:ext cx="926757" cy="24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solidFill>
                  </a:rPr>
                  <a:t>Analysis</a:t>
                </a:r>
              </a:p>
            </xdr:txBody>
          </xdr:sp>
          <xdr:sp macro="" textlink="">
            <xdr:nvSpPr>
              <xdr:cNvPr id="60" name="TextBox 59">
                <a:extLst>
                  <a:ext uri="{FF2B5EF4-FFF2-40B4-BE49-F238E27FC236}">
                    <a16:creationId xmlns:a16="http://schemas.microsoft.com/office/drawing/2014/main" id="{2E288BA6-1F02-E0B4-3D79-B2BFEB31DF7D}"/>
                  </a:ext>
                </a:extLst>
              </xdr:cNvPr>
              <xdr:cNvSpPr txBox="1"/>
            </xdr:nvSpPr>
            <xdr:spPr>
              <a:xfrm>
                <a:off x="1338649" y="6030098"/>
                <a:ext cx="1153297" cy="354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solidFill>
                  </a:rPr>
                  <a:t>Dashboard</a:t>
                </a:r>
              </a:p>
            </xdr:txBody>
          </xdr:sp>
          <xdr:sp macro="" textlink="">
            <xdr:nvSpPr>
              <xdr:cNvPr id="37" name="Rectangle: Rounded Corners 36">
                <a:extLst>
                  <a:ext uri="{FF2B5EF4-FFF2-40B4-BE49-F238E27FC236}">
                    <a16:creationId xmlns:a16="http://schemas.microsoft.com/office/drawing/2014/main" id="{60039FF3-7C5C-C28C-2014-7DCF2B9E4502}"/>
                  </a:ext>
                </a:extLst>
              </xdr:cNvPr>
              <xdr:cNvSpPr/>
            </xdr:nvSpPr>
            <xdr:spPr>
              <a:xfrm>
                <a:off x="12477935" y="1827955"/>
                <a:ext cx="3078303" cy="1495547"/>
              </a:xfrm>
              <a:prstGeom prst="roundRect">
                <a:avLst>
                  <a:gd name="adj" fmla="val 4258"/>
                </a:avLst>
              </a:prstGeom>
              <a:solidFill>
                <a:srgbClr val="A6E8AC"/>
              </a:solidFill>
              <a:ln>
                <a:noFill/>
              </a:ln>
              <a:effectLst>
                <a:glow rad="101600">
                  <a:srgbClr val="2BA136">
                    <a:alpha val="60000"/>
                  </a:srgb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Analysis!C14">
            <xdr:nvSpPr>
              <xdr:cNvPr id="38" name="TextBox 37">
                <a:extLst>
                  <a:ext uri="{FF2B5EF4-FFF2-40B4-BE49-F238E27FC236}">
                    <a16:creationId xmlns:a16="http://schemas.microsoft.com/office/drawing/2014/main" id="{672790AB-D5BE-8C99-E3D9-7C14821146E8}"/>
                  </a:ext>
                </a:extLst>
              </xdr:cNvPr>
              <xdr:cNvSpPr txBox="1"/>
            </xdr:nvSpPr>
            <xdr:spPr>
              <a:xfrm>
                <a:off x="12708502" y="2650551"/>
                <a:ext cx="2471351" cy="549072"/>
              </a:xfrm>
              <a:prstGeom prst="rect">
                <a:avLst/>
              </a:prstGeom>
              <a:solidFill>
                <a:srgbClr val="A6E8AC"/>
              </a:solidFill>
              <a:ln w="9525" cmpd="sng">
                <a:noFill/>
              </a:ln>
              <a:effectLst>
                <a:glow rad="101600">
                  <a:srgbClr val="2BA136">
                    <a:alpha val="6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D6B291E-7839-42F5-B561-EBD9C5653FFB}" type="TxLink">
                  <a:rPr lang="en-US" sz="3600" b="1" i="0" u="none" strike="noStrike">
                    <a:solidFill>
                      <a:srgbClr val="2BA136"/>
                    </a:solidFill>
                    <a:latin typeface="Times New Roman" panose="02020603050405020304" pitchFamily="18" charset="0"/>
                    <a:ea typeface="+mn-ea"/>
                    <a:cs typeface="Times New Roman" panose="02020603050405020304" pitchFamily="18" charset="0"/>
                  </a:rPr>
                  <a:pPr marL="0" indent="0" algn="ctr"/>
                  <a:t>23%</a:t>
                </a:fld>
                <a:endParaRPr lang="en-GB" sz="3600" b="1" i="0" u="none" strike="noStrike">
                  <a:solidFill>
                    <a:srgbClr val="2BA136"/>
                  </a:solidFill>
                  <a:latin typeface="Times New Roman" panose="02020603050405020304" pitchFamily="18" charset="0"/>
                  <a:ea typeface="+mn-ea"/>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20636502-FE1B-41B9-153B-AA775C705AD3}"/>
                  </a:ext>
                </a:extLst>
              </xdr:cNvPr>
              <xdr:cNvSpPr txBox="1"/>
            </xdr:nvSpPr>
            <xdr:spPr>
              <a:xfrm>
                <a:off x="12528569" y="2222014"/>
                <a:ext cx="2817046" cy="389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rgbClr val="2BA136"/>
                    </a:solidFill>
                    <a:latin typeface="Times New Roman" panose="02020603050405020304" pitchFamily="18" charset="0"/>
                    <a:cs typeface="Times New Roman" panose="02020603050405020304" pitchFamily="18" charset="0"/>
                  </a:rPr>
                  <a:t>Attrition</a:t>
                </a:r>
                <a:r>
                  <a:rPr lang="en-GB" sz="2000" b="1" baseline="0">
                    <a:solidFill>
                      <a:srgbClr val="2BA136"/>
                    </a:solidFill>
                    <a:latin typeface="Times New Roman" panose="02020603050405020304" pitchFamily="18" charset="0"/>
                    <a:cs typeface="Times New Roman" panose="02020603050405020304" pitchFamily="18" charset="0"/>
                  </a:rPr>
                  <a:t> Rate</a:t>
                </a:r>
                <a:endParaRPr lang="en-GB" sz="2000" b="1">
                  <a:solidFill>
                    <a:srgbClr val="2BA136"/>
                  </a:solidFill>
                  <a:latin typeface="Times New Roman" panose="02020603050405020304" pitchFamily="18" charset="0"/>
                  <a:cs typeface="Times New Roman" panose="02020603050405020304" pitchFamily="18" charset="0"/>
                </a:endParaRPr>
              </a:p>
            </xdr:txBody>
          </xdr:sp>
          <xdr:sp macro="" textlink="">
            <xdr:nvSpPr>
              <xdr:cNvPr id="42" name="Rectangle: Rounded Corners 41">
                <a:extLst>
                  <a:ext uri="{FF2B5EF4-FFF2-40B4-BE49-F238E27FC236}">
                    <a16:creationId xmlns:a16="http://schemas.microsoft.com/office/drawing/2014/main" id="{4A28457D-29A7-8496-08FB-99DBA0034B65}"/>
                  </a:ext>
                </a:extLst>
              </xdr:cNvPr>
              <xdr:cNvSpPr/>
            </xdr:nvSpPr>
            <xdr:spPr>
              <a:xfrm>
                <a:off x="9168720" y="1805686"/>
                <a:ext cx="3078303" cy="1493697"/>
              </a:xfrm>
              <a:prstGeom prst="roundRect">
                <a:avLst>
                  <a:gd name="adj" fmla="val 7178"/>
                </a:avLst>
              </a:prstGeom>
              <a:solidFill>
                <a:srgbClr val="A6E8AC"/>
              </a:solidFill>
              <a:ln>
                <a:noFill/>
              </a:ln>
              <a:effectLst>
                <a:glow rad="101600">
                  <a:srgbClr val="2BA136">
                    <a:alpha val="60000"/>
                  </a:srgb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Analysis!H13">
            <xdr:nvSpPr>
              <xdr:cNvPr id="44" name="TextBox 43">
                <a:extLst>
                  <a:ext uri="{FF2B5EF4-FFF2-40B4-BE49-F238E27FC236}">
                    <a16:creationId xmlns:a16="http://schemas.microsoft.com/office/drawing/2014/main" id="{83923FF9-66B2-05BA-6F62-CE22BBE50804}"/>
                  </a:ext>
                </a:extLst>
              </xdr:cNvPr>
              <xdr:cNvSpPr txBox="1"/>
            </xdr:nvSpPr>
            <xdr:spPr>
              <a:xfrm>
                <a:off x="9405127" y="2547092"/>
                <a:ext cx="2471351" cy="605438"/>
              </a:xfrm>
              <a:prstGeom prst="rect">
                <a:avLst/>
              </a:prstGeom>
              <a:solidFill>
                <a:srgbClr val="A6E8AC"/>
              </a:solidFill>
              <a:ln w="9525" cmpd="sng">
                <a:noFill/>
              </a:ln>
              <a:effectLst>
                <a:glow rad="101600">
                  <a:srgbClr val="2BA136">
                    <a:alpha val="6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D8B7CCF-2827-43D8-BF67-5ADA6BF91DC7}" type="TxLink">
                  <a:rPr lang="en-US" sz="3600" b="1" i="0" u="none" strike="noStrike">
                    <a:solidFill>
                      <a:srgbClr val="2BA136"/>
                    </a:solidFill>
                    <a:latin typeface="Times New Roman" panose="02020603050405020304" pitchFamily="18" charset="0"/>
                    <a:ea typeface="+mn-ea"/>
                    <a:cs typeface="Times New Roman" panose="02020603050405020304" pitchFamily="18" charset="0"/>
                  </a:rPr>
                  <a:pPr marL="0" indent="0" algn="ctr"/>
                  <a:t> $82,283 </a:t>
                </a:fld>
                <a:endParaRPr lang="en-GB" sz="3600" b="1" i="0" u="none" strike="noStrike">
                  <a:solidFill>
                    <a:srgbClr val="2BA136"/>
                  </a:solidFill>
                  <a:latin typeface="Times New Roman" panose="02020603050405020304" pitchFamily="18" charset="0"/>
                  <a:ea typeface="+mn-ea"/>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34391317-963E-B8E7-A9CC-0D43B22E7E15}"/>
                  </a:ext>
                </a:extLst>
              </xdr:cNvPr>
              <xdr:cNvSpPr txBox="1"/>
            </xdr:nvSpPr>
            <xdr:spPr>
              <a:xfrm>
                <a:off x="9292367" y="2104503"/>
                <a:ext cx="2817046" cy="433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rgbClr val="2BA136"/>
                    </a:solidFill>
                    <a:latin typeface="Times New Roman" panose="02020603050405020304" pitchFamily="18" charset="0"/>
                    <a:cs typeface="Times New Roman" panose="02020603050405020304" pitchFamily="18" charset="0"/>
                  </a:rPr>
                  <a:t>Average</a:t>
                </a:r>
                <a:r>
                  <a:rPr lang="en-GB" sz="2000" b="1" baseline="0">
                    <a:solidFill>
                      <a:srgbClr val="2BA136"/>
                    </a:solidFill>
                    <a:latin typeface="Times New Roman" panose="02020603050405020304" pitchFamily="18" charset="0"/>
                    <a:cs typeface="Times New Roman" panose="02020603050405020304" pitchFamily="18" charset="0"/>
                  </a:rPr>
                  <a:t> Salary</a:t>
                </a:r>
                <a:endParaRPr lang="en-GB" sz="2000" b="1">
                  <a:solidFill>
                    <a:srgbClr val="2BA136"/>
                  </a:solidFill>
                  <a:latin typeface="Times New Roman" panose="02020603050405020304" pitchFamily="18" charset="0"/>
                  <a:cs typeface="Times New Roman" panose="02020603050405020304" pitchFamily="18" charset="0"/>
                </a:endParaRPr>
              </a:p>
            </xdr:txBody>
          </xdr:sp>
        </xdr:grpSp>
        <xdr:pic>
          <xdr:nvPicPr>
            <xdr:cNvPr id="10" name="Picture 9">
              <a:extLst>
                <a:ext uri="{FF2B5EF4-FFF2-40B4-BE49-F238E27FC236}">
                  <a16:creationId xmlns:a16="http://schemas.microsoft.com/office/drawing/2014/main" id="{1AA7BECD-4C58-C61B-9D7E-349F9D7B1E5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898104" y="2265947"/>
              <a:ext cx="782054" cy="782054"/>
            </a:xfrm>
            <a:prstGeom prst="rect">
              <a:avLst/>
            </a:prstGeom>
          </xdr:spPr>
        </xdr:pic>
        <xdr:pic>
          <xdr:nvPicPr>
            <xdr:cNvPr id="23" name="Picture 22">
              <a:extLst>
                <a:ext uri="{FF2B5EF4-FFF2-40B4-BE49-F238E27FC236}">
                  <a16:creationId xmlns:a16="http://schemas.microsoft.com/office/drawing/2014/main" id="{2549CF09-8E6B-9EC0-56BE-1BA09045921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055894" y="1343527"/>
              <a:ext cx="952509" cy="952509"/>
            </a:xfrm>
            <a:prstGeom prst="rect">
              <a:avLst/>
            </a:prstGeom>
          </xdr:spPr>
        </xdr:pic>
        <xdr:pic>
          <xdr:nvPicPr>
            <xdr:cNvPr id="41" name="Picture 40">
              <a:extLst>
                <a:ext uri="{FF2B5EF4-FFF2-40B4-BE49-F238E27FC236}">
                  <a16:creationId xmlns:a16="http://schemas.microsoft.com/office/drawing/2014/main" id="{D24F48FB-B004-D139-6535-D1780024434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6446558" y="2366211"/>
              <a:ext cx="741947" cy="741947"/>
            </a:xfrm>
            <a:prstGeom prst="rect">
              <a:avLst/>
            </a:prstGeom>
          </xdr:spPr>
        </xdr:pic>
        <xdr:pic>
          <xdr:nvPicPr>
            <xdr:cNvPr id="48" name="Picture 47">
              <a:extLst>
                <a:ext uri="{FF2B5EF4-FFF2-40B4-BE49-F238E27FC236}">
                  <a16:creationId xmlns:a16="http://schemas.microsoft.com/office/drawing/2014/main" id="{B43386A0-33F2-241F-0D66-32D6B7A4FC8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335000" y="2265946"/>
              <a:ext cx="721895" cy="721895"/>
            </a:xfrm>
            <a:prstGeom prst="rect">
              <a:avLst/>
            </a:prstGeom>
          </xdr:spPr>
        </xdr:pic>
      </xdr:grpSp>
      <xdr:pic>
        <xdr:nvPicPr>
          <xdr:cNvPr id="50" name="Picture 49">
            <a:extLst>
              <a:ext uri="{FF2B5EF4-FFF2-40B4-BE49-F238E27FC236}">
                <a16:creationId xmlns:a16="http://schemas.microsoft.com/office/drawing/2014/main" id="{E88E7C0C-3EDF-B1E6-5924-20F865B26B2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0051062" y="2125580"/>
            <a:ext cx="942474" cy="942474"/>
          </a:xfrm>
          <a:prstGeom prst="rect">
            <a:avLst/>
          </a:prstGeom>
        </xdr:spPr>
      </xdr:pic>
      <mc:AlternateContent xmlns:mc="http://schemas.openxmlformats.org/markup-compatibility/2006">
        <mc:Choice xmlns:a14="http://schemas.microsoft.com/office/drawing/2010/main" Requires="a14">
          <xdr:graphicFrame macro="">
            <xdr:nvGraphicFramePr>
              <xdr:cNvPr id="51" name="Months (Hire_Date) 1">
                <a:extLst>
                  <a:ext uri="{FF2B5EF4-FFF2-40B4-BE49-F238E27FC236}">
                    <a16:creationId xmlns:a16="http://schemas.microsoft.com/office/drawing/2014/main" id="{391BF684-4416-48E1-8A58-24AA9859CCA5}"/>
                  </a:ext>
                </a:extLst>
              </xdr:cNvPr>
              <xdr:cNvGraphicFramePr/>
            </xdr:nvGraphicFramePr>
            <xdr:xfrm>
              <a:off x="19543666" y="5755106"/>
              <a:ext cx="2133229" cy="3248526"/>
            </xdr:xfrm>
            <a:graphic>
              <a:graphicData uri="http://schemas.microsoft.com/office/drawing/2010/slicer">
                <sle:slicer xmlns:sle="http://schemas.microsoft.com/office/drawing/2010/slicer" name="Months (Hire_Date) 1"/>
              </a:graphicData>
            </a:graphic>
          </xdr:graphicFrame>
        </mc:Choice>
        <mc:Fallback>
          <xdr:sp macro="" textlink="">
            <xdr:nvSpPr>
              <xdr:cNvPr id="0" name=""/>
              <xdr:cNvSpPr>
                <a:spLocks noTextEdit="1"/>
              </xdr:cNvSpPr>
            </xdr:nvSpPr>
            <xdr:spPr>
              <a:xfrm>
                <a:off x="19543666" y="5755106"/>
                <a:ext cx="2133229" cy="32485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2" name="Bonus_Performance 1">
                <a:extLst>
                  <a:ext uri="{FF2B5EF4-FFF2-40B4-BE49-F238E27FC236}">
                    <a16:creationId xmlns:a16="http://schemas.microsoft.com/office/drawing/2014/main" id="{ADF62AAB-7665-418A-BB54-3D751A64866F}"/>
                  </a:ext>
                </a:extLst>
              </xdr:cNvPr>
              <xdr:cNvGraphicFramePr/>
            </xdr:nvGraphicFramePr>
            <xdr:xfrm>
              <a:off x="19551316" y="9023684"/>
              <a:ext cx="2145631" cy="2085473"/>
            </xdr:xfrm>
            <a:graphic>
              <a:graphicData uri="http://schemas.microsoft.com/office/drawing/2010/slicer">
                <sle:slicer xmlns:sle="http://schemas.microsoft.com/office/drawing/2010/slicer" name="Bonus_Performance 1"/>
              </a:graphicData>
            </a:graphic>
          </xdr:graphicFrame>
        </mc:Choice>
        <mc:Fallback>
          <xdr:sp macro="" textlink="">
            <xdr:nvSpPr>
              <xdr:cNvPr id="0" name=""/>
              <xdr:cNvSpPr>
                <a:spLocks noTextEdit="1"/>
              </xdr:cNvSpPr>
            </xdr:nvSpPr>
            <xdr:spPr>
              <a:xfrm>
                <a:off x="19551316" y="9023684"/>
                <a:ext cx="2145631" cy="20854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BOOK x360 11 EE" refreshedDate="46208.537258796299" createdVersion="8" refreshedVersion="8" minRefreshableVersion="3" recordCount="150" xr:uid="{E3F80675-3DBB-40A7-B487-83E3245D76F0}">
  <cacheSource type="worksheet">
    <worksheetSource ref="A1:N151" sheet="dataset"/>
  </cacheSource>
  <cacheFields count="17">
    <cacheField name="Emp_ID" numFmtId="0">
      <sharedItems/>
    </cacheField>
    <cacheField name="First_Name" numFmtId="0">
      <sharedItems/>
    </cacheField>
    <cacheField name="Last_Name" numFmtId="0">
      <sharedItems/>
    </cacheField>
    <cacheField name="Full_Name" numFmtId="0">
      <sharedItems/>
    </cacheField>
    <cacheField name="Department_Code" numFmtId="0">
      <sharedItems/>
    </cacheField>
    <cacheField name="Hire_Date" numFmtId="0">
      <sharedItems containsSemiMixedTypes="0" containsNonDate="0" containsDate="1" containsString="0" minDate="2015-01-09T00:00:00" maxDate="2023-12-13T00:00:00" count="145">
        <d v="2017-12-24T00:00:00"/>
        <d v="2022-08-04T00:00:00"/>
        <d v="2016-02-03T00:00:00"/>
        <d v="2023-03-07T00:00:00"/>
        <d v="2023-02-20T00:00:00"/>
        <d v="2020-02-03T00:00:00"/>
        <d v="2023-12-12T00:00:00"/>
        <d v="2020-09-12T00:00:00"/>
        <d v="2018-07-01T00:00:00"/>
        <d v="2016-02-11T00:00:00"/>
        <d v="2020-03-21T00:00:00"/>
        <d v="2016-02-25T00:00:00"/>
        <d v="2021-06-17T00:00:00"/>
        <d v="2020-06-19T00:00:00"/>
        <d v="2019-12-21T00:00:00"/>
        <d v="2023-08-31T00:00:00"/>
        <d v="2015-11-29T00:00:00"/>
        <d v="2017-06-13T00:00:00"/>
        <d v="2018-05-15T00:00:00"/>
        <d v="2016-07-24T00:00:00"/>
        <d v="2017-07-12T00:00:00"/>
        <d v="2021-06-06T00:00:00"/>
        <d v="2022-11-09T00:00:00"/>
        <d v="2016-07-14T00:00:00"/>
        <d v="2022-06-16T00:00:00"/>
        <d v="2023-07-27T00:00:00"/>
        <d v="2019-09-24T00:00:00"/>
        <d v="2022-07-23T00:00:00"/>
        <d v="2018-05-13T00:00:00"/>
        <d v="2015-07-17T00:00:00"/>
        <d v="2015-05-08T00:00:00"/>
        <d v="2023-09-26T00:00:00"/>
        <d v="2019-10-06T00:00:00"/>
        <d v="2022-01-17T00:00:00"/>
        <d v="2017-03-07T00:00:00"/>
        <d v="2015-01-09T00:00:00"/>
        <d v="2022-03-08T00:00:00"/>
        <d v="2022-06-29T00:00:00"/>
        <d v="2020-04-28T00:00:00"/>
        <d v="2017-09-09T00:00:00"/>
        <d v="2018-03-22T00:00:00"/>
        <d v="2020-07-05T00:00:00"/>
        <d v="2019-03-25T00:00:00"/>
        <d v="2019-09-08T00:00:00"/>
        <d v="2016-04-10T00:00:00"/>
        <d v="2019-10-07T00:00:00"/>
        <d v="2021-08-29T00:00:00"/>
        <d v="2017-01-26T00:00:00"/>
        <d v="2020-05-30T00:00:00"/>
        <d v="2022-02-20T00:00:00"/>
        <d v="2016-09-15T00:00:00"/>
        <d v="2018-12-30T00:00:00"/>
        <d v="2020-12-24T00:00:00"/>
        <d v="2023-05-07T00:00:00"/>
        <d v="2020-11-13T00:00:00"/>
        <d v="2018-02-07T00:00:00"/>
        <d v="2023-11-25T00:00:00"/>
        <d v="2023-10-18T00:00:00"/>
        <d v="2020-05-09T00:00:00"/>
        <d v="2017-06-03T00:00:00"/>
        <d v="2015-04-28T00:00:00"/>
        <d v="2017-04-13T00:00:00"/>
        <d v="2022-09-23T00:00:00"/>
        <d v="2016-11-11T00:00:00"/>
        <d v="2017-03-24T00:00:00"/>
        <d v="2019-05-05T00:00:00"/>
        <d v="2021-07-25T00:00:00"/>
        <d v="2017-09-30T00:00:00"/>
        <d v="2015-07-07T00:00:00"/>
        <d v="2022-09-15T00:00:00"/>
        <d v="2015-02-09T00:00:00"/>
        <d v="2016-11-10T00:00:00"/>
        <d v="2019-04-20T00:00:00"/>
        <d v="2017-02-19T00:00:00"/>
        <d v="2021-09-07T00:00:00"/>
        <d v="2019-05-14T00:00:00"/>
        <d v="2015-11-22T00:00:00"/>
        <d v="2018-09-29T00:00:00"/>
        <d v="2023-02-09T00:00:00"/>
        <d v="2022-07-17T00:00:00"/>
        <d v="2021-07-02T00:00:00"/>
        <d v="2023-10-04T00:00:00"/>
        <d v="2020-08-30T00:00:00"/>
        <d v="2021-08-14T00:00:00"/>
        <d v="2019-11-27T00:00:00"/>
        <d v="2017-05-25T00:00:00"/>
        <d v="2018-02-12T00:00:00"/>
        <d v="2019-06-23T00:00:00"/>
        <d v="2015-10-27T00:00:00"/>
        <d v="2018-06-19T00:00:00"/>
        <d v="2018-12-01T00:00:00"/>
        <d v="2015-04-01T00:00:00"/>
        <d v="2018-05-12T00:00:00"/>
        <d v="2021-10-13T00:00:00"/>
        <d v="2020-07-09T00:00:00"/>
        <d v="2019-03-08T00:00:00"/>
        <d v="2015-11-03T00:00:00"/>
        <d v="2023-09-05T00:00:00"/>
        <d v="2018-01-22T00:00:00"/>
        <d v="2020-02-18T00:00:00"/>
        <d v="2016-05-22T00:00:00"/>
        <d v="2021-02-06T00:00:00"/>
        <d v="2021-07-17T00:00:00"/>
        <d v="2016-11-13T00:00:00"/>
        <d v="2019-02-17T00:00:00"/>
        <d v="2016-12-09T00:00:00"/>
        <d v="2021-08-13T00:00:00"/>
        <d v="2020-06-14T00:00:00"/>
        <d v="2022-05-07T00:00:00"/>
        <d v="2016-07-10T00:00:00"/>
        <d v="2022-04-23T00:00:00"/>
        <d v="2017-05-10T00:00:00"/>
        <d v="2020-05-20T00:00:00"/>
        <d v="2023-04-20T00:00:00"/>
        <d v="2021-10-31T00:00:00"/>
        <d v="2021-10-24T00:00:00"/>
        <d v="2017-09-08T00:00:00"/>
        <d v="2023-04-01T00:00:00"/>
        <d v="2020-10-08T00:00:00"/>
        <d v="2022-02-04T00:00:00"/>
        <d v="2018-03-24T00:00:00"/>
        <d v="2018-07-24T00:00:00"/>
        <d v="2018-07-20T00:00:00"/>
        <d v="2016-04-03T00:00:00"/>
        <d v="2022-03-23T00:00:00"/>
        <d v="2017-07-28T00:00:00"/>
        <d v="2023-05-11T00:00:00"/>
        <d v="2022-03-19T00:00:00"/>
        <d v="2017-12-22T00:00:00"/>
        <d v="2018-09-17T00:00:00"/>
        <d v="2021-06-28T00:00:00"/>
        <d v="2017-03-10T00:00:00"/>
        <d v="2015-10-22T00:00:00"/>
        <d v="2018-06-06T00:00:00"/>
        <d v="2017-07-16T00:00:00"/>
        <d v="2015-06-20T00:00:00"/>
        <d v="2019-05-24T00:00:00"/>
        <d v="2020-02-26T00:00:00"/>
        <d v="2023-06-03T00:00:00"/>
        <d v="2019-01-12T00:00:00"/>
        <d v="2023-04-21T00:00:00"/>
        <d v="2016-05-29T00:00:00"/>
        <d v="2022-05-30T00:00:00"/>
        <d v="2016-03-11T00:00:00"/>
        <d v="2022-10-14T00:00:00"/>
      </sharedItems>
      <fieldGroup par="16"/>
    </cacheField>
    <cacheField name="Salary" numFmtId="0">
      <sharedItems containsSemiMixedTypes="0" containsString="0" containsNumber="1" containsInteger="1" minValue="45196" maxValue="118947" count="126">
        <n v="50361"/>
        <n v="112673"/>
        <n v="114425"/>
        <n v="103831"/>
        <n v="73785"/>
        <n v="115882"/>
        <n v="59980"/>
        <n v="68728"/>
        <n v="94998"/>
        <n v="118635"/>
        <n v="76918"/>
        <n v="61408"/>
        <n v="99990"/>
        <n v="80385"/>
        <n v="65290"/>
        <n v="105765"/>
        <n v="102921"/>
        <n v="73984"/>
        <n v="82713"/>
        <n v="118527"/>
        <n v="107871"/>
        <n v="93956"/>
        <n v="100851"/>
        <n v="68655"/>
        <n v="77610"/>
        <n v="50873"/>
        <n v="85312"/>
        <n v="97055"/>
        <n v="66069"/>
        <n v="90157"/>
        <n v="59899"/>
        <n v="113389"/>
        <n v="111845"/>
        <n v="69219"/>
        <n v="57514"/>
        <n v="86245"/>
        <n v="52407"/>
        <n v="66606"/>
        <n v="81896"/>
        <n v="78402"/>
        <n v="105498"/>
        <n v="91749"/>
        <n v="99935"/>
        <n v="83531"/>
        <n v="75023"/>
        <n v="93290"/>
        <n v="115527"/>
        <n v="55920"/>
        <n v="80189"/>
        <n v="118947"/>
        <n v="91655"/>
        <n v="49435"/>
        <n v="110381"/>
        <n v="114748"/>
        <n v="63302"/>
        <n v="75519"/>
        <n v="103891"/>
        <n v="50936"/>
        <n v="111240"/>
        <n v="51567"/>
        <n v="55270"/>
        <n v="65235"/>
        <n v="48823"/>
        <n v="45196"/>
        <n v="86246"/>
        <n v="70359"/>
        <n v="86480"/>
        <n v="47694"/>
        <n v="83724"/>
        <n v="98299"/>
        <n v="52287"/>
        <n v="82633"/>
        <n v="46508"/>
        <n v="86232"/>
        <n v="77545"/>
        <n v="68683"/>
        <n v="83932"/>
        <n v="56073"/>
        <n v="88056"/>
        <n v="67414"/>
        <n v="115288"/>
        <n v="73087"/>
        <n v="95292"/>
        <n v="101750"/>
        <n v="82992"/>
        <n v="49942"/>
        <n v="89060"/>
        <n v="53786"/>
        <n v="81167"/>
        <n v="66688"/>
        <n v="91672"/>
        <n v="77737"/>
        <n v="95686"/>
        <n v="114681"/>
        <n v="109121"/>
        <n v="112791"/>
        <n v="118008"/>
        <n v="74370"/>
        <n v="77819"/>
        <n v="48748"/>
        <n v="101997"/>
        <n v="115260"/>
        <n v="60623"/>
        <n v="68092"/>
        <n v="88155"/>
        <n v="107903"/>
        <n v="62818"/>
        <n v="85151"/>
        <n v="46390"/>
        <n v="111920"/>
        <n v="115618"/>
        <n v="110618"/>
        <n v="108395"/>
        <n v="88005"/>
        <n v="83007"/>
        <n v="61547"/>
        <n v="50399"/>
        <n v="52720"/>
        <n v="65065"/>
        <n v="108119"/>
        <n v="106896"/>
        <n v="85457"/>
        <n v="62798"/>
        <n v="47794"/>
        <n v="93094"/>
        <n v="118634"/>
      </sharedItems>
    </cacheField>
    <cacheField name="Performance_Score" numFmtId="0">
      <sharedItems containsSemiMixedTypes="0" containsString="0" containsNumber="1" minValue="30" maxValue="99"/>
    </cacheField>
    <cacheField name="Employment_Status" numFmtId="0">
      <sharedItems count="3">
        <s v="Active"/>
        <s v="Left"/>
        <s v="Resigned"/>
      </sharedItems>
    </cacheField>
    <cacheField name="Department_Name" numFmtId="0">
      <sharedItems count="6">
        <s v="Information Technology"/>
        <s v="Marketing"/>
        <s v="Finance"/>
        <s v="Operations"/>
        <s v="Sales"/>
        <s v="Human Resources"/>
      </sharedItems>
    </cacheField>
    <cacheField name="Performance_Band" numFmtId="0">
      <sharedItems count="5">
        <s v="Developing"/>
        <s v="Achieving"/>
        <s v="Needs Improvement"/>
        <s v="Exceeding"/>
        <s v="Outstanding"/>
      </sharedItems>
    </cacheField>
    <cacheField name="Bonus_Performance" numFmtId="9">
      <sharedItems containsSemiMixedTypes="0" containsString="0" containsNumber="1" minValue="0" maxValue="0.12" count="5">
        <n v="0.02"/>
        <n v="0.05"/>
        <n v="0"/>
        <n v="0.08"/>
        <n v="0.12"/>
      </sharedItems>
    </cacheField>
    <cacheField name="Years" numFmtId="14">
      <sharedItems count="9">
        <s v="2017"/>
        <s v="2022"/>
        <s v="2016"/>
        <s v="2023"/>
        <s v="2020"/>
        <s v="2018"/>
        <s v="2021"/>
        <s v="2019"/>
        <s v="2015"/>
      </sharedItems>
    </cacheField>
    <cacheField name="Years_of_Service" numFmtId="1">
      <sharedItems containsSemiMixedTypes="0" containsString="0" containsNumber="1" containsInteger="1" minValue="3" maxValue="11" count="9">
        <n v="9"/>
        <n v="4"/>
        <n v="10"/>
        <n v="3"/>
        <n v="6"/>
        <n v="8"/>
        <n v="5"/>
        <n v="7"/>
        <n v="11"/>
      </sharedItems>
    </cacheField>
    <cacheField name="Months (Hire_Date)" numFmtId="0" databaseField="0">
      <fieldGroup base="5">
        <rangePr groupBy="months" startDate="2015-01-09T00:00:00" endDate="2023-12-13T00:00:00"/>
        <groupItems count="14">
          <s v="&lt;09/01/2015"/>
          <s v="Jan"/>
          <s v="Feb"/>
          <s v="Mar"/>
          <s v="Apr"/>
          <s v="May"/>
          <s v="Jun"/>
          <s v="Jul"/>
          <s v="Aug"/>
          <s v="Sep"/>
          <s v="Oct"/>
          <s v="Nov"/>
          <s v="Dec"/>
          <s v="&gt;13/12/2023"/>
        </groupItems>
      </fieldGroup>
    </cacheField>
    <cacheField name="Quarters (Hire_Date)" numFmtId="0" databaseField="0">
      <fieldGroup base="5">
        <rangePr groupBy="quarters" startDate="2015-01-09T00:00:00" endDate="2023-12-13T00:00:00"/>
        <groupItems count="6">
          <s v="&lt;09/01/2015"/>
          <s v="Qtr1"/>
          <s v="Qtr2"/>
          <s v="Qtr3"/>
          <s v="Qtr4"/>
          <s v="&gt;13/12/2023"/>
        </groupItems>
      </fieldGroup>
    </cacheField>
    <cacheField name="Years (Hire_Date)" numFmtId="0" databaseField="0">
      <fieldGroup base="5">
        <rangePr groupBy="years" startDate="2015-01-09T00:00:00" endDate="2023-12-13T00:00:00"/>
        <groupItems count="11">
          <s v="&lt;09/01/2015"/>
          <s v="2015"/>
          <s v="2016"/>
          <s v="2017"/>
          <s v="2018"/>
          <s v="2019"/>
          <s v="2020"/>
          <s v="2021"/>
          <s v="2022"/>
          <s v="2023"/>
          <s v="&gt;13/12/2023"/>
        </groupItems>
      </fieldGroup>
    </cacheField>
  </cacheFields>
  <extLst>
    <ext xmlns:x14="http://schemas.microsoft.com/office/spreadsheetml/2009/9/main" uri="{725AE2AE-9491-48be-B2B4-4EB974FC3084}">
      <x14:pivotCacheDefinition pivotCacheId="214366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s v="Brown"/>
    <s v="Emily Brown"/>
    <s v="IT02"/>
    <x v="0"/>
    <x v="0"/>
    <n v="52"/>
    <x v="0"/>
    <x v="0"/>
    <x v="0"/>
    <x v="0"/>
    <x v="0"/>
    <x v="0"/>
  </r>
  <r>
    <s v="EMP046"/>
    <s v="Richard"/>
    <s v="Hernandez"/>
    <s v="Richard Hernandez"/>
    <s v="MKT04"/>
    <x v="1"/>
    <x v="1"/>
    <n v="68.077464788732399"/>
    <x v="0"/>
    <x v="1"/>
    <x v="0"/>
    <x v="0"/>
    <x v="1"/>
    <x v="1"/>
  </r>
  <r>
    <s v="EMP134"/>
    <s v="Emily"/>
    <s v="Gonzalez"/>
    <s v="Emily Gonzalez"/>
    <s v="IT02"/>
    <x v="2"/>
    <x v="2"/>
    <n v="54"/>
    <x v="1"/>
    <x v="0"/>
    <x v="0"/>
    <x v="0"/>
    <x v="2"/>
    <x v="2"/>
  </r>
  <r>
    <s v="EMP139"/>
    <s v="John"/>
    <s v="Martinez"/>
    <s v="John Martinez"/>
    <s v="FIN03"/>
    <x v="3"/>
    <x v="3"/>
    <n v="70"/>
    <x v="0"/>
    <x v="2"/>
    <x v="1"/>
    <x v="1"/>
    <x v="3"/>
    <x v="3"/>
  </r>
  <r>
    <s v="EMP112"/>
    <s v="Thomas"/>
    <s v="Smith"/>
    <s v="Thomas Smith"/>
    <s v="IT02"/>
    <x v="4"/>
    <x v="4"/>
    <n v="40"/>
    <x v="1"/>
    <x v="0"/>
    <x v="2"/>
    <x v="2"/>
    <x v="3"/>
    <x v="3"/>
  </r>
  <r>
    <s v="EMP030"/>
    <s v="Emily"/>
    <s v="Johnson"/>
    <s v="Emily Johnson"/>
    <s v="OPS06"/>
    <x v="5"/>
    <x v="5"/>
    <n v="49"/>
    <x v="0"/>
    <x v="3"/>
    <x v="2"/>
    <x v="2"/>
    <x v="4"/>
    <x v="4"/>
  </r>
  <r>
    <s v="EMP096"/>
    <s v="John"/>
    <s v="Wilson"/>
    <s v="John Wilson"/>
    <s v="OPS06"/>
    <x v="6"/>
    <x v="6"/>
    <n v="70"/>
    <x v="1"/>
    <x v="3"/>
    <x v="1"/>
    <x v="1"/>
    <x v="3"/>
    <x v="3"/>
  </r>
  <r>
    <s v="EMP098"/>
    <s v="Jessica"/>
    <s v="Smith"/>
    <s v="Jessica Smith"/>
    <s v="OPS06"/>
    <x v="7"/>
    <x v="7"/>
    <n v="45"/>
    <x v="0"/>
    <x v="3"/>
    <x v="2"/>
    <x v="2"/>
    <x v="4"/>
    <x v="4"/>
  </r>
  <r>
    <s v="EMP095"/>
    <s v="Emily"/>
    <s v="Rodriguez"/>
    <s v="Emily Rodriguez"/>
    <s v="sal05"/>
    <x v="8"/>
    <x v="8"/>
    <n v="58"/>
    <x v="0"/>
    <x v="4"/>
    <x v="0"/>
    <x v="0"/>
    <x v="5"/>
    <x v="5"/>
  </r>
  <r>
    <s v="EMP140"/>
    <s v="Michael"/>
    <s v="Martinez"/>
    <s v="Michael Martinez"/>
    <s v="IT02"/>
    <x v="9"/>
    <x v="9"/>
    <n v="49"/>
    <x v="0"/>
    <x v="0"/>
    <x v="2"/>
    <x v="2"/>
    <x v="2"/>
    <x v="2"/>
  </r>
  <r>
    <s v="EMP020"/>
    <s v="Emily"/>
    <s v="Miller"/>
    <s v="Emily Miller"/>
    <s v="MKT04"/>
    <x v="10"/>
    <x v="10"/>
    <n v="62"/>
    <x v="0"/>
    <x v="1"/>
    <x v="0"/>
    <x v="0"/>
    <x v="4"/>
    <x v="4"/>
  </r>
  <r>
    <s v="EMP057"/>
    <s v="Emily"/>
    <s v="Hernandez"/>
    <s v="Emily Hernandez"/>
    <s v="MKT04"/>
    <x v="11"/>
    <x v="11"/>
    <n v="48"/>
    <x v="0"/>
    <x v="1"/>
    <x v="2"/>
    <x v="2"/>
    <x v="2"/>
    <x v="2"/>
  </r>
  <r>
    <s v="EMP016"/>
    <s v="Jane"/>
    <s v="Williams"/>
    <s v="Jane Williams"/>
    <s v="MKT04"/>
    <x v="12"/>
    <x v="12"/>
    <n v="54"/>
    <x v="0"/>
    <x v="1"/>
    <x v="0"/>
    <x v="0"/>
    <x v="6"/>
    <x v="6"/>
  </r>
  <r>
    <s v="EMP070"/>
    <s v="Jane"/>
    <s v="Miller"/>
    <s v="Jane Miller"/>
    <s v="sal05"/>
    <x v="13"/>
    <x v="13"/>
    <n v="68.077464788732399"/>
    <x v="0"/>
    <x v="4"/>
    <x v="0"/>
    <x v="0"/>
    <x v="4"/>
    <x v="4"/>
  </r>
  <r>
    <s v="EMP025"/>
    <s v="Robert"/>
    <s v="Jones"/>
    <s v="Robert Jones"/>
    <s v="IT02"/>
    <x v="14"/>
    <x v="14"/>
    <n v="77"/>
    <x v="0"/>
    <x v="0"/>
    <x v="1"/>
    <x v="1"/>
    <x v="7"/>
    <x v="7"/>
  </r>
  <r>
    <s v="EMP031"/>
    <s v="Thomas"/>
    <s v="Rodriguez"/>
    <s v="Thomas Rodriguez"/>
    <s v="sal05"/>
    <x v="15"/>
    <x v="15"/>
    <n v="42"/>
    <x v="0"/>
    <x v="4"/>
    <x v="2"/>
    <x v="2"/>
    <x v="3"/>
    <x v="3"/>
  </r>
  <r>
    <s v="EMP126"/>
    <s v="Emily"/>
    <s v="Davis"/>
    <s v="Emily Davis"/>
    <s v="MKT04"/>
    <x v="16"/>
    <x v="16"/>
    <n v="49"/>
    <x v="0"/>
    <x v="1"/>
    <x v="2"/>
    <x v="2"/>
    <x v="8"/>
    <x v="8"/>
  </r>
  <r>
    <s v="EMP109"/>
    <s v="James"/>
    <s v="Martinez"/>
    <s v="James Martinez"/>
    <s v="IT02"/>
    <x v="17"/>
    <x v="17"/>
    <n v="93"/>
    <x v="0"/>
    <x v="0"/>
    <x v="3"/>
    <x v="3"/>
    <x v="0"/>
    <x v="0"/>
  </r>
  <r>
    <s v="EMP066"/>
    <s v="Ashley"/>
    <s v="Lopez"/>
    <s v="Ashley Lopez"/>
    <s v="FIN03"/>
    <x v="18"/>
    <x v="18"/>
    <n v="75"/>
    <x v="0"/>
    <x v="2"/>
    <x v="1"/>
    <x v="1"/>
    <x v="5"/>
    <x v="5"/>
  </r>
  <r>
    <s v="EMP120"/>
    <s v="Amanda"/>
    <s v="Gonzalez"/>
    <s v="Amanda Gonzalez"/>
    <s v="MKT04"/>
    <x v="19"/>
    <x v="19"/>
    <n v="50"/>
    <x v="0"/>
    <x v="1"/>
    <x v="0"/>
    <x v="0"/>
    <x v="2"/>
    <x v="2"/>
  </r>
  <r>
    <s v="EMP019"/>
    <s v="Michael"/>
    <s v="Hernandez"/>
    <s v="Michael Hernandez"/>
    <s v="IT02"/>
    <x v="20"/>
    <x v="20"/>
    <n v="88"/>
    <x v="0"/>
    <x v="0"/>
    <x v="3"/>
    <x v="3"/>
    <x v="0"/>
    <x v="0"/>
  </r>
  <r>
    <s v="EMP013"/>
    <s v="Richard"/>
    <s v="Hernandez"/>
    <s v="Richard Hernandez"/>
    <s v="FIN03"/>
    <x v="21"/>
    <x v="21"/>
    <n v="50"/>
    <x v="0"/>
    <x v="2"/>
    <x v="0"/>
    <x v="0"/>
    <x v="6"/>
    <x v="6"/>
  </r>
  <r>
    <s v="EMP010"/>
    <s v="Michael"/>
    <s v="Rodriguez"/>
    <s v="Mf00_Michael"/>
    <s v="sal05"/>
    <x v="22"/>
    <x v="22"/>
    <n v="64"/>
    <x v="1"/>
    <x v="4"/>
    <x v="0"/>
    <x v="0"/>
    <x v="1"/>
    <x v="1"/>
  </r>
  <r>
    <s v="EMP032"/>
    <s v="Jessica"/>
    <s v="Johnson"/>
    <s v="Jv66_Jessica"/>
    <s v="sal05"/>
    <x v="23"/>
    <x v="23"/>
    <n v="32"/>
    <x v="0"/>
    <x v="4"/>
    <x v="2"/>
    <x v="2"/>
    <x v="2"/>
    <x v="2"/>
  </r>
  <r>
    <s v="EMP082"/>
    <s v="Ashley"/>
    <s v="Williams"/>
    <s v="Av66_Ashley"/>
    <s v="FIN03"/>
    <x v="24"/>
    <x v="24"/>
    <n v="88"/>
    <x v="0"/>
    <x v="2"/>
    <x v="3"/>
    <x v="3"/>
    <x v="1"/>
    <x v="1"/>
  </r>
  <r>
    <s v="EMP052"/>
    <s v="Emily"/>
    <s v="Williams"/>
    <s v="Ev88_Emily"/>
    <s v="sal05"/>
    <x v="25"/>
    <x v="25"/>
    <n v="90"/>
    <x v="0"/>
    <x v="4"/>
    <x v="3"/>
    <x v="3"/>
    <x v="3"/>
    <x v="3"/>
  </r>
  <r>
    <s v="EMP129"/>
    <s v="John"/>
    <s v="Wilson"/>
    <s v="Jv33_John"/>
    <s v="OPS06"/>
    <x v="26"/>
    <x v="26"/>
    <n v="66"/>
    <x v="0"/>
    <x v="3"/>
    <x v="0"/>
    <x v="0"/>
    <x v="7"/>
    <x v="7"/>
  </r>
  <r>
    <s v="EMP146"/>
    <s v="Thomas"/>
    <s v="Rodriguez"/>
    <s v="Tv77_Thomas"/>
    <s v="IT02"/>
    <x v="27"/>
    <x v="18"/>
    <n v="68"/>
    <x v="0"/>
    <x v="0"/>
    <x v="0"/>
    <x v="0"/>
    <x v="1"/>
    <x v="1"/>
  </r>
  <r>
    <s v="EMP099"/>
    <s v="Michael"/>
    <s v="Wilson"/>
    <s v="Mv00_Michael"/>
    <s v="IT02"/>
    <x v="28"/>
    <x v="27"/>
    <n v="80"/>
    <x v="0"/>
    <x v="0"/>
    <x v="1"/>
    <x v="1"/>
    <x v="5"/>
    <x v="5"/>
  </r>
  <r>
    <s v="EMP015"/>
    <s v="John"/>
    <s v="Rodriguez"/>
    <s v="Jv00_John"/>
    <s v="HR01"/>
    <x v="29"/>
    <x v="28"/>
    <n v="72"/>
    <x v="0"/>
    <x v="5"/>
    <x v="1"/>
    <x v="1"/>
    <x v="8"/>
    <x v="8"/>
  </r>
  <r>
    <s v="EMP076"/>
    <s v="Thomas"/>
    <s v="Hernandez"/>
    <s v="Tv11_Thomas"/>
    <s v="FIN03"/>
    <x v="30"/>
    <x v="29"/>
    <n v="58"/>
    <x v="0"/>
    <x v="2"/>
    <x v="0"/>
    <x v="0"/>
    <x v="8"/>
    <x v="8"/>
  </r>
  <r>
    <s v="EMP137"/>
    <s v="Michael"/>
    <s v="Johnson"/>
    <s v="Mv88_Michael"/>
    <s v="OPS06"/>
    <x v="31"/>
    <x v="30"/>
    <n v="78"/>
    <x v="0"/>
    <x v="3"/>
    <x v="1"/>
    <x v="1"/>
    <x v="3"/>
    <x v="3"/>
  </r>
  <r>
    <s v="EMP056"/>
    <s v="Sarah"/>
    <s v="Brown"/>
    <s v="Sv33_Sarah"/>
    <s v="sal05"/>
    <x v="32"/>
    <x v="31"/>
    <n v="30"/>
    <x v="0"/>
    <x v="4"/>
    <x v="2"/>
    <x v="2"/>
    <x v="7"/>
    <x v="7"/>
  </r>
  <r>
    <s v="EMP125"/>
    <s v="Jane"/>
    <s v="Martinez"/>
    <s v="Jv11_Jane"/>
    <s v="OPS06"/>
    <x v="33"/>
    <x v="32"/>
    <n v="98"/>
    <x v="0"/>
    <x v="3"/>
    <x v="4"/>
    <x v="4"/>
    <x v="1"/>
    <x v="1"/>
  </r>
  <r>
    <s v="EMP085"/>
    <s v="Emily"/>
    <s v="Jones"/>
    <s v="Ev22_Emily"/>
    <s v="sal05"/>
    <x v="34"/>
    <x v="33"/>
    <n v="93"/>
    <x v="0"/>
    <x v="4"/>
    <x v="3"/>
    <x v="3"/>
    <x v="0"/>
    <x v="0"/>
  </r>
  <r>
    <s v="EMP106"/>
    <s v="Emily"/>
    <s v="Brown"/>
    <s v="Ev77_Emily"/>
    <s v="sal05"/>
    <x v="35"/>
    <x v="18"/>
    <n v="80"/>
    <x v="0"/>
    <x v="4"/>
    <x v="1"/>
    <x v="1"/>
    <x v="8"/>
    <x v="8"/>
  </r>
  <r>
    <s v="EMP043"/>
    <s v="John"/>
    <s v="Wilson"/>
    <s v="Jv55_John"/>
    <s v="OPS06"/>
    <x v="36"/>
    <x v="34"/>
    <n v="68.077464788732399"/>
    <x v="0"/>
    <x v="3"/>
    <x v="0"/>
    <x v="0"/>
    <x v="1"/>
    <x v="1"/>
  </r>
  <r>
    <s v="EMP068"/>
    <s v="Melissa"/>
    <s v="Brown"/>
    <s v="Mv22_Melissa"/>
    <s v="IT02"/>
    <x v="37"/>
    <x v="35"/>
    <n v="71"/>
    <x v="0"/>
    <x v="0"/>
    <x v="1"/>
    <x v="1"/>
    <x v="1"/>
    <x v="1"/>
  </r>
  <r>
    <s v="EMP128"/>
    <s v="Michael"/>
    <s v="Smith"/>
    <s v="Mf44_Michael"/>
    <s v="sal05"/>
    <x v="38"/>
    <x v="36"/>
    <n v="55"/>
    <x v="1"/>
    <x v="4"/>
    <x v="0"/>
    <x v="0"/>
    <x v="4"/>
    <x v="4"/>
  </r>
  <r>
    <s v="EMP027"/>
    <s v="Sarah"/>
    <s v="Miller"/>
    <s v="Sv66_Sarah"/>
    <s v="OPS06"/>
    <x v="39"/>
    <x v="37"/>
    <n v="93"/>
    <x v="0"/>
    <x v="3"/>
    <x v="3"/>
    <x v="3"/>
    <x v="0"/>
    <x v="0"/>
  </r>
  <r>
    <s v="EMP136"/>
    <s v="Emily"/>
    <s v="Wilson"/>
    <s v="Ef88_Emily"/>
    <s v="MKT04"/>
    <x v="40"/>
    <x v="38"/>
    <n v="79"/>
    <x v="1"/>
    <x v="1"/>
    <x v="1"/>
    <x v="1"/>
    <x v="5"/>
    <x v="5"/>
  </r>
  <r>
    <s v="EMP079"/>
    <s v="David"/>
    <s v="Hernandez"/>
    <s v="Dv44_David"/>
    <s v="OPS06"/>
    <x v="41"/>
    <x v="39"/>
    <n v="54"/>
    <x v="0"/>
    <x v="3"/>
    <x v="0"/>
    <x v="0"/>
    <x v="4"/>
    <x v="4"/>
  </r>
  <r>
    <s v="EMP149"/>
    <s v="James"/>
    <s v="Smith"/>
    <s v="Je55_James"/>
    <s v="IT02"/>
    <x v="42"/>
    <x v="40"/>
    <n v="76"/>
    <x v="2"/>
    <x v="0"/>
    <x v="1"/>
    <x v="1"/>
    <x v="7"/>
    <x v="7"/>
  </r>
  <r>
    <s v="EMP037"/>
    <s v="Sarah"/>
    <s v="Williams"/>
    <s v="Se77_Sarah"/>
    <s v="MKT04"/>
    <x v="43"/>
    <x v="41"/>
    <n v="72"/>
    <x v="2"/>
    <x v="1"/>
    <x v="1"/>
    <x v="1"/>
    <x v="7"/>
    <x v="7"/>
  </r>
  <r>
    <s v="EMP077"/>
    <s v="Amanda"/>
    <s v="Lopez"/>
    <s v="Av99_Amanda"/>
    <s v="HR01"/>
    <x v="23"/>
    <x v="42"/>
    <n v="84"/>
    <x v="0"/>
    <x v="5"/>
    <x v="1"/>
    <x v="1"/>
    <x v="2"/>
    <x v="2"/>
  </r>
  <r>
    <s v="EMP023"/>
    <s v="Thomas"/>
    <s v="Lopez"/>
    <s v="Tv55_Thomas"/>
    <s v="OPS06"/>
    <x v="44"/>
    <x v="43"/>
    <n v="30"/>
    <x v="0"/>
    <x v="3"/>
    <x v="2"/>
    <x v="2"/>
    <x v="2"/>
    <x v="2"/>
  </r>
  <r>
    <s v="EMP133"/>
    <s v="Melissa"/>
    <s v="Johnson"/>
    <s v="Mf00_Melissa"/>
    <s v="FIN03"/>
    <x v="45"/>
    <x v="44"/>
    <n v="68.077464788732399"/>
    <x v="1"/>
    <x v="2"/>
    <x v="0"/>
    <x v="0"/>
    <x v="7"/>
    <x v="7"/>
  </r>
  <r>
    <s v="EMP141"/>
    <s v="Amanda"/>
    <s v="Johnson"/>
    <s v="Ae22_Amanda"/>
    <s v="sal05"/>
    <x v="46"/>
    <x v="45"/>
    <n v="53"/>
    <x v="2"/>
    <x v="4"/>
    <x v="0"/>
    <x v="0"/>
    <x v="6"/>
    <x v="6"/>
  </r>
  <r>
    <s v="EMP012"/>
    <s v="John"/>
    <s v="Davis"/>
    <s v="Jf55_John"/>
    <s v="HR01"/>
    <x v="47"/>
    <x v="46"/>
    <n v="63"/>
    <x v="1"/>
    <x v="5"/>
    <x v="0"/>
    <x v="0"/>
    <x v="0"/>
    <x v="0"/>
  </r>
  <r>
    <s v="EMP080"/>
    <s v="James"/>
    <s v="Johnson"/>
    <s v="Jv99_James"/>
    <s v="IT02"/>
    <x v="48"/>
    <x v="47"/>
    <n v="84"/>
    <x v="0"/>
    <x v="0"/>
    <x v="1"/>
    <x v="1"/>
    <x v="4"/>
    <x v="4"/>
  </r>
  <r>
    <s v="EMP069"/>
    <s v="Jane"/>
    <s v="Davis"/>
    <s v="Jv11_Jane"/>
    <s v="OPS06"/>
    <x v="49"/>
    <x v="48"/>
    <n v="30"/>
    <x v="0"/>
    <x v="3"/>
    <x v="2"/>
    <x v="2"/>
    <x v="1"/>
    <x v="1"/>
  </r>
  <r>
    <s v="EMP150"/>
    <s v="Richard"/>
    <s v="Davis"/>
    <s v="Re88_Richard"/>
    <s v="HR01"/>
    <x v="50"/>
    <x v="49"/>
    <n v="96"/>
    <x v="2"/>
    <x v="5"/>
    <x v="4"/>
    <x v="4"/>
    <x v="2"/>
    <x v="2"/>
  </r>
  <r>
    <s v="EMP028"/>
    <s v="Thomas"/>
    <s v="Rodriguez"/>
    <s v="Tv77_Thomas"/>
    <s v="IT02"/>
    <x v="45"/>
    <x v="18"/>
    <n v="54"/>
    <x v="0"/>
    <x v="0"/>
    <x v="0"/>
    <x v="0"/>
    <x v="7"/>
    <x v="7"/>
  </r>
  <r>
    <s v="EMP087"/>
    <s v="Emily"/>
    <s v="Johnson"/>
    <s v="Ev77_Emily"/>
    <s v="sal05"/>
    <x v="51"/>
    <x v="18"/>
    <n v="75"/>
    <x v="0"/>
    <x v="4"/>
    <x v="1"/>
    <x v="1"/>
    <x v="5"/>
    <x v="5"/>
  </r>
  <r>
    <s v="EMP119"/>
    <s v="Emily"/>
    <s v="Garcia"/>
    <s v="Ev66_Emily"/>
    <s v="HR01"/>
    <x v="52"/>
    <x v="50"/>
    <n v="95"/>
    <x v="0"/>
    <x v="5"/>
    <x v="4"/>
    <x v="4"/>
    <x v="4"/>
    <x v="4"/>
  </r>
  <r>
    <s v="EMP042"/>
    <s v="Jane"/>
    <s v="Anderson"/>
    <s v="Jv44_Jane"/>
    <s v="OPS06"/>
    <x v="53"/>
    <x v="51"/>
    <n v="68.077464788732399"/>
    <x v="0"/>
    <x v="3"/>
    <x v="0"/>
    <x v="0"/>
    <x v="3"/>
    <x v="3"/>
  </r>
  <r>
    <s v="EMP005"/>
    <s v="Thomas"/>
    <s v="Garcia"/>
    <s v="Tv00_Thomas"/>
    <s v="IT02"/>
    <x v="54"/>
    <x v="52"/>
    <n v="93"/>
    <x v="0"/>
    <x v="0"/>
    <x v="3"/>
    <x v="3"/>
    <x v="4"/>
    <x v="4"/>
  </r>
  <r>
    <s v="EMP033"/>
    <s v="David"/>
    <s v="Martinez"/>
    <s v="Dv44_David"/>
    <s v="FIN03"/>
    <x v="55"/>
    <x v="53"/>
    <n v="33"/>
    <x v="0"/>
    <x v="2"/>
    <x v="2"/>
    <x v="2"/>
    <x v="5"/>
    <x v="5"/>
  </r>
  <r>
    <s v="EMP061"/>
    <s v="Emily"/>
    <s v="Brown"/>
    <s v="Ef33_Emily"/>
    <s v="OPS06"/>
    <x v="56"/>
    <x v="54"/>
    <n v="91"/>
    <x v="1"/>
    <x v="3"/>
    <x v="3"/>
    <x v="3"/>
    <x v="3"/>
    <x v="3"/>
  </r>
  <r>
    <s v="EMP102"/>
    <s v="Emily"/>
    <s v="Wilson"/>
    <s v="Ev55_Emily"/>
    <s v="MKT04"/>
    <x v="57"/>
    <x v="55"/>
    <n v="64"/>
    <x v="0"/>
    <x v="1"/>
    <x v="0"/>
    <x v="0"/>
    <x v="3"/>
    <x v="3"/>
  </r>
  <r>
    <s v="EMP067"/>
    <s v="Michael"/>
    <s v="Anderson"/>
    <s v="Mv33_Michael"/>
    <s v="sal05"/>
    <x v="58"/>
    <x v="56"/>
    <n v="80"/>
    <x v="0"/>
    <x v="4"/>
    <x v="1"/>
    <x v="1"/>
    <x v="4"/>
    <x v="4"/>
  </r>
  <r>
    <s v="EMP017"/>
    <s v="Robert"/>
    <s v="Johnson"/>
    <s v="Rv77_Robert"/>
    <s v="HR01"/>
    <x v="59"/>
    <x v="18"/>
    <n v="46"/>
    <x v="0"/>
    <x v="5"/>
    <x v="2"/>
    <x v="2"/>
    <x v="0"/>
    <x v="0"/>
  </r>
  <r>
    <s v="EMP123"/>
    <s v="Robert"/>
    <s v="Miller"/>
    <s v="Rv99_Robert"/>
    <s v="HR01"/>
    <x v="60"/>
    <x v="57"/>
    <n v="99"/>
    <x v="0"/>
    <x v="5"/>
    <x v="4"/>
    <x v="4"/>
    <x v="8"/>
    <x v="8"/>
  </r>
  <r>
    <s v="EMP011"/>
    <s v="Jane"/>
    <s v="Davis"/>
    <s v="Jv11_Jane"/>
    <s v="HR01"/>
    <x v="61"/>
    <x v="58"/>
    <n v="68.077464788732399"/>
    <x v="0"/>
    <x v="5"/>
    <x v="0"/>
    <x v="0"/>
    <x v="0"/>
    <x v="0"/>
  </r>
  <r>
    <s v="EMP091"/>
    <s v="Thomas"/>
    <s v="Davis"/>
    <s v="Tf55_Thomas"/>
    <s v="sal05"/>
    <x v="62"/>
    <x v="59"/>
    <n v="87"/>
    <x v="1"/>
    <x v="4"/>
    <x v="3"/>
    <x v="3"/>
    <x v="1"/>
    <x v="1"/>
  </r>
  <r>
    <s v="EMP145"/>
    <s v="Thomas"/>
    <s v="Jones"/>
    <s v="Tv77_Thomas"/>
    <s v="sal05"/>
    <x v="63"/>
    <x v="18"/>
    <n v="36"/>
    <x v="0"/>
    <x v="4"/>
    <x v="2"/>
    <x v="2"/>
    <x v="2"/>
    <x v="2"/>
  </r>
  <r>
    <s v="EMP001"/>
    <s v="Michael"/>
    <s v="Miller"/>
    <s v="Mv22_Michael"/>
    <s v="sal05"/>
    <x v="64"/>
    <x v="60"/>
    <n v="87"/>
    <x v="0"/>
    <x v="4"/>
    <x v="3"/>
    <x v="3"/>
    <x v="0"/>
    <x v="0"/>
  </r>
  <r>
    <s v="EMP113"/>
    <s v="Richard"/>
    <s v="Gonzalez"/>
    <s v="Re22_Richard"/>
    <s v="sal05"/>
    <x v="65"/>
    <x v="61"/>
    <n v="97"/>
    <x v="2"/>
    <x v="4"/>
    <x v="4"/>
    <x v="4"/>
    <x v="7"/>
    <x v="7"/>
  </r>
  <r>
    <s v="EMP065"/>
    <s v="Melissa"/>
    <s v="Williams"/>
    <s v="Mv77_Melissa"/>
    <s v="OPS06"/>
    <x v="66"/>
    <x v="18"/>
    <n v="72"/>
    <x v="0"/>
    <x v="3"/>
    <x v="1"/>
    <x v="1"/>
    <x v="6"/>
    <x v="6"/>
  </r>
  <r>
    <s v="EMP045"/>
    <s v="Robert"/>
    <s v="Miller"/>
    <s v="Rv77_Robert"/>
    <s v="FIN03"/>
    <x v="67"/>
    <x v="18"/>
    <n v="65"/>
    <x v="0"/>
    <x v="2"/>
    <x v="0"/>
    <x v="0"/>
    <x v="0"/>
    <x v="0"/>
  </r>
  <r>
    <s v="EMP083"/>
    <s v="William"/>
    <s v="Garcia"/>
    <s v="Wv77_William"/>
    <s v="IT02"/>
    <x v="68"/>
    <x v="18"/>
    <n v="67"/>
    <x v="0"/>
    <x v="0"/>
    <x v="0"/>
    <x v="0"/>
    <x v="8"/>
    <x v="8"/>
  </r>
  <r>
    <s v="EMP029"/>
    <s v="John"/>
    <s v="Gonzalez"/>
    <s v="Jf88_John"/>
    <s v="sal05"/>
    <x v="55"/>
    <x v="62"/>
    <n v="34"/>
    <x v="1"/>
    <x v="4"/>
    <x v="2"/>
    <x v="2"/>
    <x v="5"/>
    <x v="5"/>
  </r>
  <r>
    <s v="EMP041"/>
    <s v="James"/>
    <s v="Gonzalez"/>
    <s v="Jf11_James"/>
    <s v="MKT04"/>
    <x v="69"/>
    <x v="63"/>
    <n v="78"/>
    <x v="1"/>
    <x v="1"/>
    <x v="1"/>
    <x v="1"/>
    <x v="1"/>
    <x v="1"/>
  </r>
  <r>
    <s v="EMP026"/>
    <s v="Jane"/>
    <s v="Gonzalez"/>
    <s v="Jv22_Jane"/>
    <s v="OPS06"/>
    <x v="70"/>
    <x v="64"/>
    <n v="61"/>
    <x v="0"/>
    <x v="3"/>
    <x v="0"/>
    <x v="0"/>
    <x v="8"/>
    <x v="8"/>
  </r>
  <r>
    <s v="EMP024"/>
    <s v="David"/>
    <s v="Wilson"/>
    <s v="Dv33_David"/>
    <s v="HR01"/>
    <x v="71"/>
    <x v="65"/>
    <n v="74"/>
    <x v="0"/>
    <x v="5"/>
    <x v="1"/>
    <x v="1"/>
    <x v="2"/>
    <x v="2"/>
  </r>
  <r>
    <s v="EMP111"/>
    <s v="Jane"/>
    <s v="Gonzalez"/>
    <s v="Jf77_Jane"/>
    <s v="IT02"/>
    <x v="72"/>
    <x v="18"/>
    <n v="94"/>
    <x v="1"/>
    <x v="0"/>
    <x v="3"/>
    <x v="3"/>
    <x v="7"/>
    <x v="7"/>
  </r>
  <r>
    <s v="EMP040"/>
    <s v="Jane"/>
    <s v="Rodriguez"/>
    <s v="Jv44_Jane"/>
    <s v="FIN03"/>
    <x v="73"/>
    <x v="66"/>
    <n v="68.077464788732399"/>
    <x v="0"/>
    <x v="2"/>
    <x v="0"/>
    <x v="0"/>
    <x v="0"/>
    <x v="0"/>
  </r>
  <r>
    <s v="EMP086"/>
    <s v="Emily"/>
    <s v="Miller"/>
    <s v="Ef66_Emily"/>
    <s v="FIN03"/>
    <x v="74"/>
    <x v="67"/>
    <n v="75"/>
    <x v="1"/>
    <x v="2"/>
    <x v="1"/>
    <x v="1"/>
    <x v="6"/>
    <x v="6"/>
  </r>
  <r>
    <s v="EMP124"/>
    <s v="Sarah"/>
    <s v="Miller"/>
    <s v="Sv77_Sarah"/>
    <s v="IT02"/>
    <x v="75"/>
    <x v="68"/>
    <n v="81"/>
    <x v="0"/>
    <x v="0"/>
    <x v="1"/>
    <x v="1"/>
    <x v="7"/>
    <x v="7"/>
  </r>
  <r>
    <s v="EMP132"/>
    <s v="Jessica"/>
    <s v="Garcia"/>
    <s v="Jv22_Jessica"/>
    <s v="IT02"/>
    <x v="76"/>
    <x v="69"/>
    <n v="61"/>
    <x v="0"/>
    <x v="0"/>
    <x v="0"/>
    <x v="0"/>
    <x v="8"/>
    <x v="8"/>
  </r>
  <r>
    <s v="EMP048"/>
    <s v="Richard"/>
    <s v="Smith"/>
    <s v="Rv77_Richard"/>
    <s v="OPS06"/>
    <x v="77"/>
    <x v="18"/>
    <n v="68"/>
    <x v="0"/>
    <x v="3"/>
    <x v="0"/>
    <x v="0"/>
    <x v="5"/>
    <x v="5"/>
  </r>
  <r>
    <s v="EMP114"/>
    <s v="Melissa"/>
    <s v="Wilson"/>
    <s v="Me22_Melissa"/>
    <s v="HR01"/>
    <x v="78"/>
    <x v="70"/>
    <n v="70"/>
    <x v="2"/>
    <x v="5"/>
    <x v="1"/>
    <x v="1"/>
    <x v="3"/>
    <x v="3"/>
  </r>
  <r>
    <s v="EMP062"/>
    <s v="Thomas"/>
    <s v="Williams"/>
    <s v="Tv66_Thomas"/>
    <s v="IT02"/>
    <x v="79"/>
    <x v="71"/>
    <n v="98"/>
    <x v="0"/>
    <x v="0"/>
    <x v="4"/>
    <x v="4"/>
    <x v="1"/>
    <x v="1"/>
  </r>
  <r>
    <s v="EMP074"/>
    <s v="David"/>
    <s v="Williams"/>
    <s v="Dv55_David"/>
    <s v="OPS06"/>
    <x v="80"/>
    <x v="72"/>
    <n v="34"/>
    <x v="0"/>
    <x v="3"/>
    <x v="2"/>
    <x v="2"/>
    <x v="6"/>
    <x v="6"/>
  </r>
  <r>
    <s v="EMP034"/>
    <s v="John"/>
    <s v="Johnson"/>
    <s v="Jv22_John"/>
    <s v="FIN03"/>
    <x v="81"/>
    <x v="73"/>
    <n v="93"/>
    <x v="0"/>
    <x v="2"/>
    <x v="3"/>
    <x v="3"/>
    <x v="3"/>
    <x v="3"/>
  </r>
  <r>
    <s v="EMP105"/>
    <s v="Richard"/>
    <s v="Gonzalez"/>
    <s v="Rv55_Richard"/>
    <s v="HR01"/>
    <x v="82"/>
    <x v="74"/>
    <n v="48"/>
    <x v="0"/>
    <x v="5"/>
    <x v="2"/>
    <x v="2"/>
    <x v="4"/>
    <x v="4"/>
  </r>
  <r>
    <s v="EMP118"/>
    <s v="Melissa"/>
    <s v="Anderson"/>
    <s v="Mv66_Melissa"/>
    <s v="IT02"/>
    <x v="83"/>
    <x v="75"/>
    <n v="90"/>
    <x v="0"/>
    <x v="0"/>
    <x v="3"/>
    <x v="3"/>
    <x v="6"/>
    <x v="6"/>
  </r>
  <r>
    <s v="EMP063"/>
    <s v="Emily"/>
    <s v="Gonzalez"/>
    <s v="Ev99_Emily"/>
    <s v="OPS06"/>
    <x v="84"/>
    <x v="76"/>
    <n v="57"/>
    <x v="0"/>
    <x v="3"/>
    <x v="0"/>
    <x v="0"/>
    <x v="7"/>
    <x v="7"/>
  </r>
  <r>
    <s v="EMP094"/>
    <s v="Jane"/>
    <s v="Davis"/>
    <s v="Jv00_Jane"/>
    <s v="sal05"/>
    <x v="85"/>
    <x v="77"/>
    <n v="79"/>
    <x v="0"/>
    <x v="4"/>
    <x v="1"/>
    <x v="1"/>
    <x v="0"/>
    <x v="0"/>
  </r>
  <r>
    <s v="EMP097"/>
    <s v="William"/>
    <s v="Gonzalez"/>
    <s v="Wv00_William"/>
    <s v="IT02"/>
    <x v="86"/>
    <x v="78"/>
    <n v="66"/>
    <x v="0"/>
    <x v="0"/>
    <x v="0"/>
    <x v="0"/>
    <x v="5"/>
    <x v="5"/>
  </r>
  <r>
    <s v="EMP054"/>
    <s v="Thomas"/>
    <s v="Jones"/>
    <s v="Tf44_Thomas"/>
    <s v="sal05"/>
    <x v="87"/>
    <x v="79"/>
    <n v="84"/>
    <x v="1"/>
    <x v="4"/>
    <x v="1"/>
    <x v="1"/>
    <x v="7"/>
    <x v="7"/>
  </r>
  <r>
    <s v="EMP006"/>
    <s v="Jessica"/>
    <s v="Anderson"/>
    <s v="Jv55_Jessica"/>
    <s v="IT02"/>
    <x v="88"/>
    <x v="80"/>
    <n v="61"/>
    <x v="0"/>
    <x v="0"/>
    <x v="0"/>
    <x v="0"/>
    <x v="8"/>
    <x v="8"/>
  </r>
  <r>
    <s v="EMP110"/>
    <s v="Melissa"/>
    <s v="Johnson"/>
    <s v="Mv00_Melissa"/>
    <s v="MKT04"/>
    <x v="89"/>
    <x v="81"/>
    <n v="69"/>
    <x v="0"/>
    <x v="1"/>
    <x v="0"/>
    <x v="0"/>
    <x v="5"/>
    <x v="5"/>
  </r>
  <r>
    <s v="EMP147"/>
    <s v="Thomas"/>
    <s v="Miller"/>
    <s v="Tf22_Thomas"/>
    <s v="IT02"/>
    <x v="90"/>
    <x v="82"/>
    <n v="34"/>
    <x v="1"/>
    <x v="0"/>
    <x v="2"/>
    <x v="2"/>
    <x v="5"/>
    <x v="5"/>
  </r>
  <r>
    <s v="EMP050"/>
    <s v="William"/>
    <s v="Gonzalez"/>
    <s v="Wv77_William"/>
    <s v="OPS06"/>
    <x v="91"/>
    <x v="18"/>
    <n v="33"/>
    <x v="0"/>
    <x v="3"/>
    <x v="2"/>
    <x v="2"/>
    <x v="8"/>
    <x v="8"/>
  </r>
  <r>
    <s v="EMP036"/>
    <s v="Emily"/>
    <s v="Smith"/>
    <s v="Ev11_Emily"/>
    <s v="IT02"/>
    <x v="92"/>
    <x v="83"/>
    <n v="84"/>
    <x v="0"/>
    <x v="0"/>
    <x v="1"/>
    <x v="1"/>
    <x v="5"/>
    <x v="5"/>
  </r>
  <r>
    <s v="EMP081"/>
    <s v="John"/>
    <s v="Johnson"/>
    <s v="Jv99_John"/>
    <s v="OPS06"/>
    <x v="93"/>
    <x v="84"/>
    <n v="79"/>
    <x v="0"/>
    <x v="3"/>
    <x v="1"/>
    <x v="1"/>
    <x v="6"/>
    <x v="6"/>
  </r>
  <r>
    <s v="EMP078"/>
    <s v="Jane"/>
    <s v="Johnson"/>
    <s v="Jv99_Jane"/>
    <s v="MKT04"/>
    <x v="94"/>
    <x v="85"/>
    <n v="51"/>
    <x v="0"/>
    <x v="1"/>
    <x v="0"/>
    <x v="0"/>
    <x v="4"/>
    <x v="4"/>
  </r>
  <r>
    <s v="EMP035"/>
    <s v="John"/>
    <s v="Jones"/>
    <s v="Jv00_John"/>
    <s v="IT02"/>
    <x v="95"/>
    <x v="86"/>
    <n v="58"/>
    <x v="0"/>
    <x v="0"/>
    <x v="0"/>
    <x v="0"/>
    <x v="7"/>
    <x v="7"/>
  </r>
  <r>
    <s v="EMP047"/>
    <s v="Jane"/>
    <s v="Lopez"/>
    <s v="Jf77_Jane"/>
    <s v="HR01"/>
    <x v="96"/>
    <x v="87"/>
    <n v="98"/>
    <x v="1"/>
    <x v="5"/>
    <x v="4"/>
    <x v="4"/>
    <x v="8"/>
    <x v="8"/>
  </r>
  <r>
    <s v="EMP008"/>
    <s v="Melissa"/>
    <s v="Gonzalez"/>
    <s v="Mv11_Melissa"/>
    <s v="sal05"/>
    <x v="73"/>
    <x v="88"/>
    <n v="68.077464788732399"/>
    <x v="0"/>
    <x v="4"/>
    <x v="0"/>
    <x v="0"/>
    <x v="0"/>
    <x v="0"/>
  </r>
  <r>
    <s v="EMP044"/>
    <s v="William"/>
    <s v="Davis"/>
    <s v="Wv66_William"/>
    <s v="sal05"/>
    <x v="97"/>
    <x v="89"/>
    <n v="40"/>
    <x v="0"/>
    <x v="4"/>
    <x v="2"/>
    <x v="2"/>
    <x v="3"/>
    <x v="3"/>
  </r>
  <r>
    <s v="EMP071"/>
    <s v="John"/>
    <s v="Smith"/>
    <s v="Jv66_John"/>
    <s v="OPS06"/>
    <x v="98"/>
    <x v="90"/>
    <n v="88"/>
    <x v="0"/>
    <x v="3"/>
    <x v="3"/>
    <x v="3"/>
    <x v="5"/>
    <x v="5"/>
  </r>
  <r>
    <s v="EMP115"/>
    <s v="James"/>
    <s v="Gonzalez"/>
    <s v="Jv77_James"/>
    <s v="MKT04"/>
    <x v="99"/>
    <x v="91"/>
    <n v="77"/>
    <x v="0"/>
    <x v="1"/>
    <x v="1"/>
    <x v="1"/>
    <x v="4"/>
    <x v="4"/>
  </r>
  <r>
    <s v="EMP092"/>
    <s v="Emily"/>
    <s v="Johnson"/>
    <s v="Ev66_Emily"/>
    <s v="IT02"/>
    <x v="100"/>
    <x v="92"/>
    <n v="91"/>
    <x v="0"/>
    <x v="0"/>
    <x v="3"/>
    <x v="3"/>
    <x v="2"/>
    <x v="2"/>
  </r>
  <r>
    <s v="EMP084"/>
    <s v="William"/>
    <s v="Williams"/>
    <s v="Wf44_William"/>
    <s v="IT02"/>
    <x v="101"/>
    <x v="93"/>
    <n v="36"/>
    <x v="1"/>
    <x v="0"/>
    <x v="2"/>
    <x v="2"/>
    <x v="6"/>
    <x v="6"/>
  </r>
  <r>
    <s v="EMP142"/>
    <s v="James"/>
    <s v="Jones"/>
    <s v="Jv99_James"/>
    <s v="IT02"/>
    <x v="102"/>
    <x v="94"/>
    <n v="72"/>
    <x v="0"/>
    <x v="0"/>
    <x v="1"/>
    <x v="1"/>
    <x v="6"/>
    <x v="6"/>
  </r>
  <r>
    <s v="EMP143"/>
    <s v="Jessica"/>
    <s v="Gonzalez"/>
    <s v="Jv22_Jessica"/>
    <s v="MKT04"/>
    <x v="103"/>
    <x v="95"/>
    <n v="87"/>
    <x v="0"/>
    <x v="1"/>
    <x v="3"/>
    <x v="3"/>
    <x v="2"/>
    <x v="2"/>
  </r>
  <r>
    <s v="EMP090"/>
    <s v="Sarah"/>
    <s v="Miller"/>
    <s v="Sv88_Sarah"/>
    <s v="OPS06"/>
    <x v="104"/>
    <x v="96"/>
    <n v="71"/>
    <x v="0"/>
    <x v="3"/>
    <x v="1"/>
    <x v="1"/>
    <x v="7"/>
    <x v="7"/>
  </r>
  <r>
    <s v="EMP009"/>
    <s v="Jessica"/>
    <s v="Smith"/>
    <s v="Jv33_Jessica"/>
    <s v="HR01"/>
    <x v="105"/>
    <x v="97"/>
    <n v="82"/>
    <x v="0"/>
    <x v="5"/>
    <x v="1"/>
    <x v="1"/>
    <x v="2"/>
    <x v="2"/>
  </r>
  <r>
    <s v="EMP014"/>
    <s v="Thomas"/>
    <s v="Jones"/>
    <s v="Tv88_Thomas"/>
    <s v="sal05"/>
    <x v="106"/>
    <x v="98"/>
    <n v="79"/>
    <x v="0"/>
    <x v="4"/>
    <x v="1"/>
    <x v="1"/>
    <x v="6"/>
    <x v="6"/>
  </r>
  <r>
    <s v="EMP060"/>
    <s v="Amanda"/>
    <s v="Brown"/>
    <s v="Av77_Amanda"/>
    <s v="IT02"/>
    <x v="107"/>
    <x v="99"/>
    <n v="83"/>
    <x v="0"/>
    <x v="0"/>
    <x v="1"/>
    <x v="1"/>
    <x v="4"/>
    <x v="4"/>
  </r>
  <r>
    <s v="EMP135"/>
    <s v="Robert"/>
    <s v="Martinez"/>
    <s v="Rv11_Robert"/>
    <s v="sal05"/>
    <x v="108"/>
    <x v="100"/>
    <n v="38"/>
    <x v="0"/>
    <x v="4"/>
    <x v="2"/>
    <x v="2"/>
    <x v="1"/>
    <x v="1"/>
  </r>
  <r>
    <s v="EMP004"/>
    <s v="Thomas"/>
    <s v="Miller"/>
    <s v="Tv55_Thomas"/>
    <s v="OPS06"/>
    <x v="109"/>
    <x v="101"/>
    <n v="77"/>
    <x v="0"/>
    <x v="3"/>
    <x v="1"/>
    <x v="1"/>
    <x v="2"/>
    <x v="2"/>
  </r>
  <r>
    <s v="EMP018"/>
    <s v="David"/>
    <s v="Rodriguez"/>
    <s v="Dv77_David"/>
    <s v="HR01"/>
    <x v="110"/>
    <x v="18"/>
    <n v="49"/>
    <x v="0"/>
    <x v="5"/>
    <x v="2"/>
    <x v="2"/>
    <x v="1"/>
    <x v="1"/>
  </r>
  <r>
    <s v="EMP039"/>
    <s v="Jane"/>
    <s v="Miller"/>
    <s v="Jv77_Jane"/>
    <s v="MKT04"/>
    <x v="111"/>
    <x v="18"/>
    <n v="69"/>
    <x v="0"/>
    <x v="1"/>
    <x v="0"/>
    <x v="0"/>
    <x v="0"/>
    <x v="0"/>
  </r>
  <r>
    <s v="EMP073"/>
    <s v="James"/>
    <s v="Rodriguez"/>
    <s v="Je77_James"/>
    <s v="MKT04"/>
    <x v="112"/>
    <x v="18"/>
    <n v="76"/>
    <x v="2"/>
    <x v="1"/>
    <x v="1"/>
    <x v="1"/>
    <x v="4"/>
    <x v="4"/>
  </r>
  <r>
    <s v="EMP138"/>
    <s v="Sarah"/>
    <s v="Rodriguez"/>
    <s v="Sv66_Sarah"/>
    <s v="IT02"/>
    <x v="113"/>
    <x v="102"/>
    <n v="78"/>
    <x v="0"/>
    <x v="0"/>
    <x v="1"/>
    <x v="1"/>
    <x v="3"/>
    <x v="3"/>
  </r>
  <r>
    <s v="EMP007"/>
    <s v="Sarah"/>
    <s v="Wilson"/>
    <s v="Sv00_Sarah"/>
    <s v="HR01"/>
    <x v="114"/>
    <x v="103"/>
    <n v="93"/>
    <x v="0"/>
    <x v="5"/>
    <x v="3"/>
    <x v="3"/>
    <x v="6"/>
    <x v="6"/>
  </r>
  <r>
    <s v="EMP144"/>
    <s v="Melissa"/>
    <s v="Brown"/>
    <s v="Mf11_Melissa"/>
    <s v="FIN03"/>
    <x v="115"/>
    <x v="104"/>
    <n v="68"/>
    <x v="1"/>
    <x v="2"/>
    <x v="0"/>
    <x v="0"/>
    <x v="6"/>
    <x v="6"/>
  </r>
  <r>
    <s v="EMP101"/>
    <s v="Robert"/>
    <s v="Williams"/>
    <s v="Rv77_Robert"/>
    <s v="HR01"/>
    <x v="116"/>
    <x v="105"/>
    <n v="42"/>
    <x v="0"/>
    <x v="5"/>
    <x v="2"/>
    <x v="2"/>
    <x v="0"/>
    <x v="0"/>
  </r>
  <r>
    <s v="EMP003"/>
    <s v="Melissa"/>
    <s v="Rodriguez"/>
    <s v="Mv88_Melissa"/>
    <s v="HR01"/>
    <x v="117"/>
    <x v="106"/>
    <n v="34"/>
    <x v="0"/>
    <x v="5"/>
    <x v="2"/>
    <x v="2"/>
    <x v="3"/>
    <x v="3"/>
  </r>
  <r>
    <s v="EMP121"/>
    <s v="James"/>
    <s v="Johnson"/>
    <s v="Jv11_James"/>
    <s v="sal05"/>
    <x v="118"/>
    <x v="107"/>
    <n v="35"/>
    <x v="0"/>
    <x v="4"/>
    <x v="2"/>
    <x v="2"/>
    <x v="4"/>
    <x v="4"/>
  </r>
  <r>
    <s v="EMP064"/>
    <s v="Michael"/>
    <s v="Wilson"/>
    <s v="Mv33_Michael"/>
    <s v="OPS06"/>
    <x v="119"/>
    <x v="108"/>
    <n v="95"/>
    <x v="0"/>
    <x v="3"/>
    <x v="4"/>
    <x v="4"/>
    <x v="1"/>
    <x v="1"/>
  </r>
  <r>
    <s v="EMP116"/>
    <s v="William"/>
    <s v="Jones"/>
    <s v="Wv11_William"/>
    <s v="FIN03"/>
    <x v="120"/>
    <x v="109"/>
    <n v="90"/>
    <x v="0"/>
    <x v="2"/>
    <x v="3"/>
    <x v="3"/>
    <x v="5"/>
    <x v="5"/>
  </r>
  <r>
    <s v="EMP055"/>
    <s v="William"/>
    <s v="Williams"/>
    <s v="Wv55_William"/>
    <s v="MKT04"/>
    <x v="121"/>
    <x v="110"/>
    <n v="42"/>
    <x v="0"/>
    <x v="1"/>
    <x v="2"/>
    <x v="2"/>
    <x v="5"/>
    <x v="5"/>
  </r>
  <r>
    <s v="EMP108"/>
    <s v="David"/>
    <s v="Williams"/>
    <s v="Dv00_David"/>
    <s v="IT02"/>
    <x v="122"/>
    <x v="111"/>
    <n v="88"/>
    <x v="0"/>
    <x v="0"/>
    <x v="3"/>
    <x v="3"/>
    <x v="5"/>
    <x v="5"/>
  </r>
  <r>
    <s v="EMP051"/>
    <s v="Jane"/>
    <s v="Davis"/>
    <s v="Jv88_Jane"/>
    <s v="sal05"/>
    <x v="123"/>
    <x v="112"/>
    <n v="78"/>
    <x v="0"/>
    <x v="4"/>
    <x v="1"/>
    <x v="1"/>
    <x v="2"/>
    <x v="2"/>
  </r>
  <r>
    <s v="EMP059"/>
    <s v="John"/>
    <s v="Martinez"/>
    <s v="Jf00_John"/>
    <s v="OPS06"/>
    <x v="124"/>
    <x v="113"/>
    <n v="69"/>
    <x v="1"/>
    <x v="3"/>
    <x v="0"/>
    <x v="0"/>
    <x v="1"/>
    <x v="1"/>
  </r>
  <r>
    <s v="EMP049"/>
    <s v="David"/>
    <s v="Anderson"/>
    <s v="Dv00_David"/>
    <s v="FIN03"/>
    <x v="125"/>
    <x v="114"/>
    <n v="82"/>
    <x v="0"/>
    <x v="2"/>
    <x v="1"/>
    <x v="1"/>
    <x v="0"/>
    <x v="0"/>
  </r>
  <r>
    <s v="EMP089"/>
    <s v="Sarah"/>
    <s v="Smith"/>
    <s v="Se55_Sarah"/>
    <s v="OPS06"/>
    <x v="126"/>
    <x v="115"/>
    <n v="68"/>
    <x v="2"/>
    <x v="3"/>
    <x v="0"/>
    <x v="0"/>
    <x v="3"/>
    <x v="3"/>
  </r>
  <r>
    <s v="EMP022"/>
    <s v="Melissa"/>
    <s v="Hernandez"/>
    <s v="Mf77_Melissa"/>
    <s v="OPS06"/>
    <x v="127"/>
    <x v="18"/>
    <n v="52"/>
    <x v="1"/>
    <x v="3"/>
    <x v="0"/>
    <x v="0"/>
    <x v="1"/>
    <x v="1"/>
  </r>
  <r>
    <s v="EMP058"/>
    <s v="Melissa"/>
    <s v="Johnson"/>
    <s v="Mv33_Melissa"/>
    <s v="sal05"/>
    <x v="128"/>
    <x v="116"/>
    <n v="92"/>
    <x v="0"/>
    <x v="4"/>
    <x v="3"/>
    <x v="3"/>
    <x v="0"/>
    <x v="0"/>
  </r>
  <r>
    <s v="EMP130"/>
    <s v="Jane"/>
    <s v="Garcia"/>
    <s v="Jv77_Jane"/>
    <s v="OPS06"/>
    <x v="46"/>
    <x v="18"/>
    <n v="62"/>
    <x v="0"/>
    <x v="3"/>
    <x v="0"/>
    <x v="0"/>
    <x v="6"/>
    <x v="6"/>
  </r>
  <r>
    <s v="EMP038"/>
    <s v="David"/>
    <s v="Davis"/>
    <s v="Dv77_David"/>
    <s v="IT02"/>
    <x v="129"/>
    <x v="117"/>
    <n v="68"/>
    <x v="0"/>
    <x v="0"/>
    <x v="0"/>
    <x v="0"/>
    <x v="5"/>
    <x v="5"/>
  </r>
  <r>
    <s v="EMP148"/>
    <s v="James"/>
    <s v="Wilson"/>
    <s v="Jv00_James"/>
    <s v="HR01"/>
    <x v="130"/>
    <x v="118"/>
    <n v="98"/>
    <x v="0"/>
    <x v="5"/>
    <x v="4"/>
    <x v="4"/>
    <x v="6"/>
    <x v="6"/>
  </r>
  <r>
    <s v="EMP002"/>
    <s v="Richard"/>
    <s v="Johnson"/>
    <s v="Rf77_Richard"/>
    <s v="FIN03"/>
    <x v="131"/>
    <x v="18"/>
    <n v="94"/>
    <x v="1"/>
    <x v="2"/>
    <x v="3"/>
    <x v="3"/>
    <x v="0"/>
    <x v="0"/>
  </r>
  <r>
    <s v="EMP053"/>
    <s v="Richard"/>
    <s v="Williams"/>
    <s v="Rv88_Richard"/>
    <s v="sal05"/>
    <x v="132"/>
    <x v="119"/>
    <n v="57"/>
    <x v="0"/>
    <x v="4"/>
    <x v="0"/>
    <x v="0"/>
    <x v="8"/>
    <x v="8"/>
  </r>
  <r>
    <s v="EMP131"/>
    <s v="John"/>
    <s v="Hernandez"/>
    <s v="Jv77_John"/>
    <s v="OPS06"/>
    <x v="133"/>
    <x v="18"/>
    <n v="96"/>
    <x v="0"/>
    <x v="3"/>
    <x v="4"/>
    <x v="4"/>
    <x v="5"/>
    <x v="5"/>
  </r>
  <r>
    <s v="EMP104"/>
    <s v="Sarah"/>
    <s v="Gonzalez"/>
    <s v="Sv66_Sarah"/>
    <s v="MKT04"/>
    <x v="134"/>
    <x v="120"/>
    <n v="52"/>
    <x v="0"/>
    <x v="1"/>
    <x v="0"/>
    <x v="0"/>
    <x v="0"/>
    <x v="0"/>
  </r>
  <r>
    <s v="EMP100"/>
    <s v="Melissa"/>
    <s v="Hernandez"/>
    <s v="Me44_Melissa"/>
    <s v="FIN03"/>
    <x v="135"/>
    <x v="121"/>
    <n v="79"/>
    <x v="2"/>
    <x v="2"/>
    <x v="1"/>
    <x v="1"/>
    <x v="8"/>
    <x v="8"/>
  </r>
  <r>
    <s v="EMP117"/>
    <s v="Melissa"/>
    <s v="Hernandez"/>
    <s v="Me77_Melissa"/>
    <s v="sal05"/>
    <x v="136"/>
    <x v="122"/>
    <n v="30"/>
    <x v="2"/>
    <x v="4"/>
    <x v="2"/>
    <x v="2"/>
    <x v="7"/>
    <x v="7"/>
  </r>
  <r>
    <s v="EMP088"/>
    <s v="John"/>
    <s v="Davis"/>
    <s v="Jv77_John"/>
    <s v="OPS06"/>
    <x v="137"/>
    <x v="123"/>
    <n v="73"/>
    <x v="0"/>
    <x v="3"/>
    <x v="1"/>
    <x v="1"/>
    <x v="4"/>
    <x v="4"/>
  </r>
  <r>
    <s v="EMP075"/>
    <s v="Richard"/>
    <s v="Davis"/>
    <s v="Rf00_Richard"/>
    <s v="MKT04"/>
    <x v="138"/>
    <x v="124"/>
    <n v="74"/>
    <x v="1"/>
    <x v="1"/>
    <x v="1"/>
    <x v="1"/>
    <x v="3"/>
    <x v="3"/>
  </r>
  <r>
    <s v="EMP122"/>
    <s v="Emily"/>
    <s v="Jones"/>
    <s v="Ev88_Emily"/>
    <s v="IT02"/>
    <x v="139"/>
    <x v="125"/>
    <n v="91"/>
    <x v="0"/>
    <x v="0"/>
    <x v="3"/>
    <x v="3"/>
    <x v="7"/>
    <x v="7"/>
  </r>
  <r>
    <s v="EMP021"/>
    <s v="William"/>
    <s v="Rodriguez"/>
    <s v="Wv44_William"/>
    <s v="FIN03"/>
    <x v="140"/>
    <x v="121"/>
    <n v="79"/>
    <x v="0"/>
    <x v="2"/>
    <x v="1"/>
    <x v="1"/>
    <x v="3"/>
    <x v="3"/>
  </r>
  <r>
    <s v="EMP072"/>
    <s v="Melissa"/>
    <s v="Miller"/>
    <s v="Mv77_Melissa"/>
    <s v="sal05"/>
    <x v="141"/>
    <x v="122"/>
    <n v="30"/>
    <x v="0"/>
    <x v="4"/>
    <x v="2"/>
    <x v="2"/>
    <x v="2"/>
    <x v="2"/>
  </r>
  <r>
    <s v="EMP107"/>
    <s v="Emily"/>
    <s v="Martinez"/>
    <s v="Ef77_Emily"/>
    <s v="OPS06"/>
    <x v="142"/>
    <x v="123"/>
    <n v="73"/>
    <x v="1"/>
    <x v="3"/>
    <x v="1"/>
    <x v="1"/>
    <x v="1"/>
    <x v="1"/>
  </r>
  <r>
    <s v="EMP093"/>
    <s v="James"/>
    <s v="Rodriguez"/>
    <s v="Jv00_James"/>
    <s v="MKT04"/>
    <x v="143"/>
    <x v="124"/>
    <n v="74"/>
    <x v="0"/>
    <x v="1"/>
    <x v="1"/>
    <x v="1"/>
    <x v="2"/>
    <x v="2"/>
  </r>
  <r>
    <s v="EMP103"/>
    <s v="Amanda"/>
    <s v="Brown"/>
    <s v="Av88_Amanda"/>
    <s v="IT02"/>
    <x v="144"/>
    <x v="125"/>
    <n v="91"/>
    <x v="0"/>
    <x v="0"/>
    <x v="3"/>
    <x v="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DBA665-519D-4939-9E84-D8DE69F800E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Department">
  <location ref="C3:D10" firstHeaderRow="1" firstDataRow="1" firstDataCol="1"/>
  <pivotFields count="17">
    <pivotField showAll="0"/>
    <pivotField showAll="0"/>
    <pivotField showAll="0"/>
    <pivotField showAll="0"/>
    <pivotField showAll="0"/>
    <pivotField showAll="0">
      <items count="146">
        <item x="35"/>
        <item x="70"/>
        <item x="91"/>
        <item x="60"/>
        <item x="30"/>
        <item x="135"/>
        <item x="68"/>
        <item x="29"/>
        <item x="132"/>
        <item x="88"/>
        <item x="96"/>
        <item x="76"/>
        <item x="16"/>
        <item x="2"/>
        <item x="9"/>
        <item x="11"/>
        <item x="143"/>
        <item x="123"/>
        <item x="44"/>
        <item x="100"/>
        <item x="141"/>
        <item x="109"/>
        <item x="23"/>
        <item x="19"/>
        <item x="50"/>
        <item x="71"/>
        <item x="63"/>
        <item x="103"/>
        <item x="105"/>
        <item x="47"/>
        <item x="73"/>
        <item x="34"/>
        <item x="131"/>
        <item x="64"/>
        <item x="61"/>
        <item x="111"/>
        <item x="85"/>
        <item x="59"/>
        <item x="17"/>
        <item x="20"/>
        <item x="134"/>
        <item x="125"/>
        <item x="116"/>
        <item x="39"/>
        <item x="67"/>
        <item x="128"/>
        <item x="0"/>
        <item x="98"/>
        <item x="55"/>
        <item x="86"/>
        <item x="40"/>
        <item x="120"/>
        <item x="92"/>
        <item x="28"/>
        <item x="18"/>
        <item x="133"/>
        <item x="89"/>
        <item x="8"/>
        <item x="122"/>
        <item x="121"/>
        <item x="129"/>
        <item x="77"/>
        <item x="90"/>
        <item x="51"/>
        <item x="139"/>
        <item x="104"/>
        <item x="95"/>
        <item x="42"/>
        <item x="72"/>
        <item x="65"/>
        <item x="75"/>
        <item x="136"/>
        <item x="87"/>
        <item x="43"/>
        <item x="26"/>
        <item x="32"/>
        <item x="45"/>
        <item x="84"/>
        <item x="14"/>
        <item x="5"/>
        <item x="99"/>
        <item x="137"/>
        <item x="10"/>
        <item x="38"/>
        <item x="58"/>
        <item x="112"/>
        <item x="48"/>
        <item x="107"/>
        <item x="13"/>
        <item x="41"/>
        <item x="94"/>
        <item x="82"/>
        <item x="7"/>
        <item x="118"/>
        <item x="54"/>
        <item x="52"/>
        <item x="101"/>
        <item x="21"/>
        <item x="12"/>
        <item x="130"/>
        <item x="80"/>
        <item x="102"/>
        <item x="66"/>
        <item x="106"/>
        <item x="83"/>
        <item x="46"/>
        <item x="74"/>
        <item x="93"/>
        <item x="115"/>
        <item x="114"/>
        <item x="33"/>
        <item x="119"/>
        <item x="49"/>
        <item x="36"/>
        <item x="127"/>
        <item x="124"/>
        <item x="110"/>
        <item x="108"/>
        <item x="142"/>
        <item x="24"/>
        <item x="37"/>
        <item x="79"/>
        <item x="27"/>
        <item x="1"/>
        <item x="69"/>
        <item x="62"/>
        <item x="144"/>
        <item x="22"/>
        <item x="78"/>
        <item x="4"/>
        <item x="3"/>
        <item x="117"/>
        <item x="113"/>
        <item x="140"/>
        <item x="53"/>
        <item x="126"/>
        <item x="138"/>
        <item x="25"/>
        <item x="15"/>
        <item x="97"/>
        <item x="31"/>
        <item x="81"/>
        <item x="57"/>
        <item x="56"/>
        <item x="6"/>
        <item t="default"/>
      </items>
    </pivotField>
    <pivotField dataField="1" showAll="0"/>
    <pivotField showAll="0"/>
    <pivotField showAll="0"/>
    <pivotField axis="axisRow" showAll="0">
      <items count="7">
        <item x="2"/>
        <item x="5"/>
        <item x="0"/>
        <item x="1"/>
        <item x="3"/>
        <item x="4"/>
        <item t="default"/>
      </items>
    </pivotField>
    <pivotField showAll="0"/>
    <pivotField showAll="0">
      <items count="6">
        <item x="2"/>
        <item x="0"/>
        <item x="1"/>
        <item x="3"/>
        <item x="4"/>
        <item t="default"/>
      </items>
    </pivotField>
    <pivotField showAll="0">
      <items count="10">
        <item x="8"/>
        <item x="2"/>
        <item x="0"/>
        <item x="5"/>
        <item x="7"/>
        <item x="4"/>
        <item x="6"/>
        <item x="1"/>
        <item x="3"/>
        <item t="default"/>
      </items>
    </pivotField>
    <pivotField numFmtId="1" showAll="0">
      <items count="10">
        <item x="3"/>
        <item x="1"/>
        <item x="6"/>
        <item x="4"/>
        <item x="7"/>
        <item x="5"/>
        <item x="0"/>
        <item x="2"/>
        <item x="8"/>
        <item t="default"/>
      </items>
    </pivotField>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9"/>
  </rowFields>
  <rowItems count="7">
    <i>
      <x/>
    </i>
    <i>
      <x v="1"/>
    </i>
    <i>
      <x v="2"/>
    </i>
    <i>
      <x v="3"/>
    </i>
    <i>
      <x v="4"/>
    </i>
    <i>
      <x v="5"/>
    </i>
    <i t="grand">
      <x/>
    </i>
  </rowItems>
  <colItems count="1">
    <i/>
  </colItems>
  <dataFields count="1">
    <dataField name="Sum of Salary" fld="6" baseField="0" baseItem="0"/>
  </dataFields>
  <formats count="1">
    <format dxfId="56">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09DB61-1D62-4E2C-885B-16DBA318D95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location ref="A12:B34" firstHeaderRow="1" firstDataRow="1" firstDataCol="1"/>
  <pivotFields count="17">
    <pivotField dataField="1" showAll="0"/>
    <pivotField showAll="0"/>
    <pivotField showAll="0"/>
    <pivotField showAll="0"/>
    <pivotField showAll="0"/>
    <pivotField showAll="0">
      <items count="146">
        <item x="35"/>
        <item x="70"/>
        <item x="91"/>
        <item x="60"/>
        <item x="30"/>
        <item x="135"/>
        <item x="68"/>
        <item x="29"/>
        <item x="132"/>
        <item x="88"/>
        <item x="96"/>
        <item x="76"/>
        <item x="16"/>
        <item x="2"/>
        <item x="9"/>
        <item x="11"/>
        <item x="143"/>
        <item x="123"/>
        <item x="44"/>
        <item x="100"/>
        <item x="141"/>
        <item x="109"/>
        <item x="23"/>
        <item x="19"/>
        <item x="50"/>
        <item x="71"/>
        <item x="63"/>
        <item x="103"/>
        <item x="105"/>
        <item x="47"/>
        <item x="73"/>
        <item x="34"/>
        <item x="131"/>
        <item x="64"/>
        <item x="61"/>
        <item x="111"/>
        <item x="85"/>
        <item x="59"/>
        <item x="17"/>
        <item x="20"/>
        <item x="134"/>
        <item x="125"/>
        <item x="116"/>
        <item x="39"/>
        <item x="67"/>
        <item x="128"/>
        <item x="0"/>
        <item x="98"/>
        <item x="55"/>
        <item x="86"/>
        <item x="40"/>
        <item x="120"/>
        <item x="92"/>
        <item x="28"/>
        <item x="18"/>
        <item x="133"/>
        <item x="89"/>
        <item x="8"/>
        <item x="122"/>
        <item x="121"/>
        <item x="129"/>
        <item x="77"/>
        <item x="90"/>
        <item x="51"/>
        <item x="139"/>
        <item x="104"/>
        <item x="95"/>
        <item x="42"/>
        <item x="72"/>
        <item x="65"/>
        <item x="75"/>
        <item x="136"/>
        <item x="87"/>
        <item x="43"/>
        <item x="26"/>
        <item x="32"/>
        <item x="45"/>
        <item x="84"/>
        <item x="14"/>
        <item x="5"/>
        <item x="99"/>
        <item x="137"/>
        <item x="10"/>
        <item x="38"/>
        <item x="58"/>
        <item x="112"/>
        <item x="48"/>
        <item x="107"/>
        <item x="13"/>
        <item x="41"/>
        <item x="94"/>
        <item x="82"/>
        <item x="7"/>
        <item x="118"/>
        <item x="54"/>
        <item x="52"/>
        <item x="101"/>
        <item x="21"/>
        <item x="12"/>
        <item x="130"/>
        <item x="80"/>
        <item x="102"/>
        <item x="66"/>
        <item x="106"/>
        <item x="83"/>
        <item x="46"/>
        <item x="74"/>
        <item x="93"/>
        <item x="115"/>
        <item x="114"/>
        <item x="33"/>
        <item x="119"/>
        <item x="49"/>
        <item x="36"/>
        <item x="127"/>
        <item x="124"/>
        <item x="110"/>
        <item x="108"/>
        <item x="142"/>
        <item x="24"/>
        <item x="37"/>
        <item x="79"/>
        <item x="27"/>
        <item x="1"/>
        <item x="69"/>
        <item x="62"/>
        <item x="144"/>
        <item x="22"/>
        <item x="78"/>
        <item x="4"/>
        <item x="3"/>
        <item x="117"/>
        <item x="113"/>
        <item x="140"/>
        <item x="53"/>
        <item x="126"/>
        <item x="138"/>
        <item x="25"/>
        <item x="15"/>
        <item x="97"/>
        <item x="31"/>
        <item x="81"/>
        <item x="57"/>
        <item x="56"/>
        <item x="6"/>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showAll="0">
      <items count="7">
        <item x="2"/>
        <item x="5"/>
        <item x="0"/>
        <item x="1"/>
        <item x="3"/>
        <item x="4"/>
        <item t="default"/>
      </items>
    </pivotField>
    <pivotField showAll="0"/>
    <pivotField showAll="0">
      <items count="6">
        <item x="2"/>
        <item x="0"/>
        <item x="1"/>
        <item x="3"/>
        <item x="4"/>
        <item t="default"/>
      </items>
    </pivotField>
    <pivotField showAll="0">
      <items count="10">
        <item x="8"/>
        <item x="2"/>
        <item x="0"/>
        <item x="5"/>
        <item x="7"/>
        <item x="4"/>
        <item x="6"/>
        <item x="1"/>
        <item x="3"/>
        <item t="default"/>
      </items>
    </pivotField>
    <pivotField numFmtId="1" showAll="0">
      <items count="10">
        <item x="3"/>
        <item x="1"/>
        <item x="6"/>
        <item x="4"/>
        <item x="7"/>
        <item x="5"/>
        <item x="0"/>
        <item x="2"/>
        <item x="8"/>
        <item t="default"/>
      </items>
    </pivotField>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2">
    <field x="8"/>
    <field x="9"/>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Count of Emp_ID" fld="0" subtotal="count" showDataAs="percentOfCol" baseField="0" baseItem="0" numFmtId="9"/>
  </dataFields>
  <formats count="4">
    <format dxfId="60">
      <pivotArea dataOnly="0" labelOnly="1" outline="0" axis="axisValues" fieldPosition="0"/>
    </format>
    <format dxfId="59">
      <pivotArea outline="0" fieldPosition="0">
        <references count="1">
          <reference field="4294967294" count="1">
            <x v="0"/>
          </reference>
        </references>
      </pivotArea>
    </format>
    <format dxfId="58">
      <pivotArea collapsedLevelsAreSubtotals="1" fieldPosition="0">
        <references count="2">
          <reference field="8" count="1" selected="0">
            <x v="0"/>
          </reference>
          <reference field="9" count="1">
            <x v="1"/>
          </reference>
        </references>
      </pivotArea>
    </format>
    <format dxfId="57">
      <pivotArea outline="0" collapsedLevelsAreSubtotals="1" fieldPosition="0"/>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D38158-33C1-4F50-B313-30B692D1FAE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F3:G10" firstHeaderRow="1" firstDataRow="1" firstDataCol="1"/>
  <pivotFields count="17">
    <pivotField showAll="0"/>
    <pivotField showAll="0"/>
    <pivotField showAll="0"/>
    <pivotField showAll="0"/>
    <pivotField showAll="0"/>
    <pivotField showAll="0">
      <items count="146">
        <item x="35"/>
        <item x="70"/>
        <item x="91"/>
        <item x="60"/>
        <item x="30"/>
        <item x="135"/>
        <item x="68"/>
        <item x="29"/>
        <item x="132"/>
        <item x="88"/>
        <item x="96"/>
        <item x="76"/>
        <item x="16"/>
        <item x="2"/>
        <item x="9"/>
        <item x="11"/>
        <item x="143"/>
        <item x="123"/>
        <item x="44"/>
        <item x="100"/>
        <item x="141"/>
        <item x="109"/>
        <item x="23"/>
        <item x="19"/>
        <item x="50"/>
        <item x="71"/>
        <item x="63"/>
        <item x="103"/>
        <item x="105"/>
        <item x="47"/>
        <item x="73"/>
        <item x="34"/>
        <item x="131"/>
        <item x="64"/>
        <item x="61"/>
        <item x="111"/>
        <item x="85"/>
        <item x="59"/>
        <item x="17"/>
        <item x="20"/>
        <item x="134"/>
        <item x="125"/>
        <item x="116"/>
        <item x="39"/>
        <item x="67"/>
        <item x="128"/>
        <item x="0"/>
        <item x="98"/>
        <item x="55"/>
        <item x="86"/>
        <item x="40"/>
        <item x="120"/>
        <item x="92"/>
        <item x="28"/>
        <item x="18"/>
        <item x="133"/>
        <item x="89"/>
        <item x="8"/>
        <item x="122"/>
        <item x="121"/>
        <item x="129"/>
        <item x="77"/>
        <item x="90"/>
        <item x="51"/>
        <item x="139"/>
        <item x="104"/>
        <item x="95"/>
        <item x="42"/>
        <item x="72"/>
        <item x="65"/>
        <item x="75"/>
        <item x="136"/>
        <item x="87"/>
        <item x="43"/>
        <item x="26"/>
        <item x="32"/>
        <item x="45"/>
        <item x="84"/>
        <item x="14"/>
        <item x="5"/>
        <item x="99"/>
        <item x="137"/>
        <item x="10"/>
        <item x="38"/>
        <item x="58"/>
        <item x="112"/>
        <item x="48"/>
        <item x="107"/>
        <item x="13"/>
        <item x="41"/>
        <item x="94"/>
        <item x="82"/>
        <item x="7"/>
        <item x="118"/>
        <item x="54"/>
        <item x="52"/>
        <item x="101"/>
        <item x="21"/>
        <item x="12"/>
        <item x="130"/>
        <item x="80"/>
        <item x="102"/>
        <item x="66"/>
        <item x="106"/>
        <item x="83"/>
        <item x="46"/>
        <item x="74"/>
        <item x="93"/>
        <item x="115"/>
        <item x="114"/>
        <item x="33"/>
        <item x="119"/>
        <item x="49"/>
        <item x="36"/>
        <item x="127"/>
        <item x="124"/>
        <item x="110"/>
        <item x="108"/>
        <item x="142"/>
        <item x="24"/>
        <item x="37"/>
        <item x="79"/>
        <item x="27"/>
        <item x="1"/>
        <item x="69"/>
        <item x="62"/>
        <item x="144"/>
        <item x="22"/>
        <item x="78"/>
        <item x="4"/>
        <item x="3"/>
        <item x="117"/>
        <item x="113"/>
        <item x="140"/>
        <item x="53"/>
        <item x="126"/>
        <item x="138"/>
        <item x="25"/>
        <item x="15"/>
        <item x="97"/>
        <item x="31"/>
        <item x="81"/>
        <item x="57"/>
        <item x="56"/>
        <item x="6"/>
        <item t="default"/>
      </items>
    </pivotField>
    <pivotField showAll="0"/>
    <pivotField showAll="0"/>
    <pivotField showAll="0"/>
    <pivotField axis="axisRow" dataField="1" showAll="0">
      <items count="7">
        <item x="2"/>
        <item x="5"/>
        <item x="0"/>
        <item x="1"/>
        <item x="3"/>
        <item x="4"/>
        <item t="default"/>
      </items>
    </pivotField>
    <pivotField showAll="0"/>
    <pivotField showAll="0">
      <items count="6">
        <item x="2"/>
        <item x="0"/>
        <item x="1"/>
        <item x="3"/>
        <item x="4"/>
        <item t="default"/>
      </items>
    </pivotField>
    <pivotField showAll="0">
      <items count="10">
        <item x="8"/>
        <item x="2"/>
        <item x="0"/>
        <item x="5"/>
        <item x="7"/>
        <item x="4"/>
        <item x="6"/>
        <item x="1"/>
        <item x="3"/>
        <item t="default"/>
      </items>
    </pivotField>
    <pivotField numFmtId="1" showAll="0">
      <items count="10">
        <item x="3"/>
        <item x="1"/>
        <item x="6"/>
        <item x="4"/>
        <item x="7"/>
        <item x="5"/>
        <item x="0"/>
        <item x="2"/>
        <item x="8"/>
        <item t="default"/>
      </items>
    </pivotField>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9"/>
  </rowFields>
  <rowItems count="7">
    <i>
      <x/>
    </i>
    <i>
      <x v="1"/>
    </i>
    <i>
      <x v="2"/>
    </i>
    <i>
      <x v="3"/>
    </i>
    <i>
      <x v="4"/>
    </i>
    <i>
      <x v="5"/>
    </i>
    <i t="grand">
      <x/>
    </i>
  </rowItems>
  <colItems count="1">
    <i/>
  </colItems>
  <dataFields count="1">
    <dataField name="Count of Department_Name" fld="9" subtotal="count" baseField="0" baseItem="0"/>
  </dataFields>
  <formats count="1">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B62AE2-9B2D-4F9A-9B7D-F4AFAE08C94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27" firstHeaderRow="1" firstDataRow="1" firstDataCol="1"/>
  <pivotFields count="17">
    <pivotField showAll="0"/>
    <pivotField showAll="0"/>
    <pivotField showAll="0"/>
    <pivotField showAll="0"/>
    <pivotField showAll="0"/>
    <pivotField axis="axisRow" showAll="0">
      <items count="146">
        <item x="35"/>
        <item x="70"/>
        <item x="91"/>
        <item x="60"/>
        <item x="30"/>
        <item x="135"/>
        <item x="68"/>
        <item x="29"/>
        <item x="132"/>
        <item x="88"/>
        <item x="96"/>
        <item x="76"/>
        <item x="16"/>
        <item x="2"/>
        <item x="9"/>
        <item x="11"/>
        <item x="143"/>
        <item x="123"/>
        <item x="44"/>
        <item x="100"/>
        <item x="141"/>
        <item x="109"/>
        <item x="23"/>
        <item x="19"/>
        <item x="50"/>
        <item x="71"/>
        <item x="63"/>
        <item x="103"/>
        <item x="105"/>
        <item x="47"/>
        <item x="73"/>
        <item x="34"/>
        <item x="131"/>
        <item x="64"/>
        <item x="61"/>
        <item x="111"/>
        <item x="85"/>
        <item x="59"/>
        <item x="17"/>
        <item x="20"/>
        <item x="134"/>
        <item x="125"/>
        <item x="116"/>
        <item x="39"/>
        <item x="67"/>
        <item x="128"/>
        <item x="0"/>
        <item x="98"/>
        <item x="55"/>
        <item x="86"/>
        <item x="40"/>
        <item x="120"/>
        <item x="92"/>
        <item x="28"/>
        <item x="18"/>
        <item x="133"/>
        <item x="89"/>
        <item x="8"/>
        <item x="122"/>
        <item x="121"/>
        <item x="129"/>
        <item x="77"/>
        <item x="90"/>
        <item x="51"/>
        <item x="139"/>
        <item x="104"/>
        <item x="95"/>
        <item x="42"/>
        <item x="72"/>
        <item x="65"/>
        <item x="75"/>
        <item x="136"/>
        <item x="87"/>
        <item x="43"/>
        <item x="26"/>
        <item x="32"/>
        <item x="45"/>
        <item x="84"/>
        <item x="14"/>
        <item x="5"/>
        <item x="99"/>
        <item x="137"/>
        <item x="10"/>
        <item x="38"/>
        <item x="58"/>
        <item x="112"/>
        <item x="48"/>
        <item x="107"/>
        <item x="13"/>
        <item x="41"/>
        <item x="94"/>
        <item x="82"/>
        <item x="7"/>
        <item x="118"/>
        <item x="54"/>
        <item x="52"/>
        <item x="101"/>
        <item x="21"/>
        <item x="12"/>
        <item x="130"/>
        <item x="80"/>
        <item x="102"/>
        <item x="66"/>
        <item x="106"/>
        <item x="83"/>
        <item x="46"/>
        <item x="74"/>
        <item x="93"/>
        <item x="115"/>
        <item x="114"/>
        <item x="33"/>
        <item x="119"/>
        <item x="49"/>
        <item x="36"/>
        <item x="127"/>
        <item x="124"/>
        <item x="110"/>
        <item x="108"/>
        <item x="142"/>
        <item x="24"/>
        <item x="37"/>
        <item x="79"/>
        <item x="27"/>
        <item x="1"/>
        <item x="69"/>
        <item x="62"/>
        <item x="144"/>
        <item x="22"/>
        <item x="78"/>
        <item x="4"/>
        <item x="3"/>
        <item x="117"/>
        <item x="113"/>
        <item x="140"/>
        <item x="53"/>
        <item x="126"/>
        <item x="138"/>
        <item x="25"/>
        <item x="15"/>
        <item x="97"/>
        <item x="31"/>
        <item x="81"/>
        <item x="57"/>
        <item x="56"/>
        <item x="6"/>
        <item t="default"/>
      </items>
    </pivotField>
    <pivotField dataField="1" showAll="0"/>
    <pivotField showAll="0"/>
    <pivotField showAll="0"/>
    <pivotField showAll="0"/>
    <pivotField showAll="0"/>
    <pivotField showAll="0">
      <items count="6">
        <item x="2"/>
        <item x="0"/>
        <item x="1"/>
        <item x="3"/>
        <item x="4"/>
        <item t="default"/>
      </items>
    </pivotField>
    <pivotField showAll="0">
      <items count="10">
        <item x="8"/>
        <item x="2"/>
        <item x="0"/>
        <item x="5"/>
        <item x="7"/>
        <item x="4"/>
        <item x="6"/>
        <item x="1"/>
        <item x="3"/>
        <item t="default"/>
      </items>
    </pivotField>
    <pivotField numFmtId="1" showAll="0">
      <items count="10">
        <item x="3"/>
        <item x="1"/>
        <item x="6"/>
        <item x="4"/>
        <item x="7"/>
        <item x="5"/>
        <item x="0"/>
        <item x="2"/>
        <item x="8"/>
        <item t="default"/>
      </items>
    </pivotField>
    <pivotField axis="axisRow" showAll="0">
      <items count="15">
        <item sd="0" x="0"/>
        <item h="1"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4">
    <field x="16"/>
    <field x="15"/>
    <field x="14"/>
    <field x="5"/>
  </rowFields>
  <rowItems count="10">
    <i>
      <x v="1"/>
    </i>
    <i>
      <x v="2"/>
    </i>
    <i>
      <x v="3"/>
    </i>
    <i>
      <x v="4"/>
    </i>
    <i>
      <x v="5"/>
    </i>
    <i>
      <x v="6"/>
    </i>
    <i>
      <x v="7"/>
    </i>
    <i>
      <x v="8"/>
    </i>
    <i>
      <x v="9"/>
    </i>
    <i t="grand">
      <x/>
    </i>
  </rowItems>
  <colItems count="1">
    <i/>
  </colItems>
  <dataFields count="1">
    <dataField name="Sum of Salary" fld="6" baseField="0" baseItem="0"/>
  </dataFields>
  <formats count="1">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B7475D-EEB7-4D88-A94B-944B62C98BD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Performance Band">
  <location ref="D19:E25" firstHeaderRow="1" firstDataRow="1" firstDataCol="1"/>
  <pivotFields count="17">
    <pivotField showAll="0"/>
    <pivotField showAll="0"/>
    <pivotField showAll="0"/>
    <pivotField showAll="0"/>
    <pivotField showAll="0"/>
    <pivotField showAll="0">
      <items count="146">
        <item x="35"/>
        <item x="70"/>
        <item x="91"/>
        <item x="60"/>
        <item x="30"/>
        <item x="135"/>
        <item x="68"/>
        <item x="29"/>
        <item x="132"/>
        <item x="88"/>
        <item x="96"/>
        <item x="76"/>
        <item x="16"/>
        <item x="2"/>
        <item x="9"/>
        <item x="11"/>
        <item x="143"/>
        <item x="123"/>
        <item x="44"/>
        <item x="100"/>
        <item x="141"/>
        <item x="109"/>
        <item x="23"/>
        <item x="19"/>
        <item x="50"/>
        <item x="71"/>
        <item x="63"/>
        <item x="103"/>
        <item x="105"/>
        <item x="47"/>
        <item x="73"/>
        <item x="34"/>
        <item x="131"/>
        <item x="64"/>
        <item x="61"/>
        <item x="111"/>
        <item x="85"/>
        <item x="59"/>
        <item x="17"/>
        <item x="20"/>
        <item x="134"/>
        <item x="125"/>
        <item x="116"/>
        <item x="39"/>
        <item x="67"/>
        <item x="128"/>
        <item x="0"/>
        <item x="98"/>
        <item x="55"/>
        <item x="86"/>
        <item x="40"/>
        <item x="120"/>
        <item x="92"/>
        <item x="28"/>
        <item x="18"/>
        <item x="133"/>
        <item x="89"/>
        <item x="8"/>
        <item x="122"/>
        <item x="121"/>
        <item x="129"/>
        <item x="77"/>
        <item x="90"/>
        <item x="51"/>
        <item x="139"/>
        <item x="104"/>
        <item x="95"/>
        <item x="42"/>
        <item x="72"/>
        <item x="65"/>
        <item x="75"/>
        <item x="136"/>
        <item x="87"/>
        <item x="43"/>
        <item x="26"/>
        <item x="32"/>
        <item x="45"/>
        <item x="84"/>
        <item x="14"/>
        <item x="5"/>
        <item x="99"/>
        <item x="137"/>
        <item x="10"/>
        <item x="38"/>
        <item x="58"/>
        <item x="112"/>
        <item x="48"/>
        <item x="107"/>
        <item x="13"/>
        <item x="41"/>
        <item x="94"/>
        <item x="82"/>
        <item x="7"/>
        <item x="118"/>
        <item x="54"/>
        <item x="52"/>
        <item x="101"/>
        <item x="21"/>
        <item x="12"/>
        <item x="130"/>
        <item x="80"/>
        <item x="102"/>
        <item x="66"/>
        <item x="106"/>
        <item x="83"/>
        <item x="46"/>
        <item x="74"/>
        <item x="93"/>
        <item x="115"/>
        <item x="114"/>
        <item x="33"/>
        <item x="119"/>
        <item x="49"/>
        <item x="36"/>
        <item x="127"/>
        <item x="124"/>
        <item x="110"/>
        <item x="108"/>
        <item x="142"/>
        <item x="24"/>
        <item x="37"/>
        <item x="79"/>
        <item x="27"/>
        <item x="1"/>
        <item x="69"/>
        <item x="62"/>
        <item x="144"/>
        <item x="22"/>
        <item x="78"/>
        <item x="4"/>
        <item x="3"/>
        <item x="117"/>
        <item x="113"/>
        <item x="140"/>
        <item x="53"/>
        <item x="126"/>
        <item x="138"/>
        <item x="25"/>
        <item x="15"/>
        <item x="97"/>
        <item x="31"/>
        <item x="81"/>
        <item x="57"/>
        <item x="56"/>
        <item x="6"/>
        <item t="default"/>
      </items>
    </pivotField>
    <pivotField showAll="0">
      <items count="127">
        <item x="63"/>
        <item x="108"/>
        <item x="72"/>
        <item x="67"/>
        <item x="123"/>
        <item x="99"/>
        <item x="62"/>
        <item x="51"/>
        <item x="85"/>
        <item x="0"/>
        <item x="116"/>
        <item x="25"/>
        <item x="57"/>
        <item x="59"/>
        <item x="70"/>
        <item x="36"/>
        <item x="117"/>
        <item x="87"/>
        <item x="60"/>
        <item x="47"/>
        <item x="77"/>
        <item x="34"/>
        <item x="30"/>
        <item x="6"/>
        <item x="102"/>
        <item x="11"/>
        <item x="115"/>
        <item x="122"/>
        <item x="106"/>
        <item x="54"/>
        <item x="118"/>
        <item x="61"/>
        <item x="14"/>
        <item x="28"/>
        <item x="37"/>
        <item x="89"/>
        <item x="79"/>
        <item x="103"/>
        <item x="23"/>
        <item x="75"/>
        <item x="7"/>
        <item x="33"/>
        <item x="65"/>
        <item x="81"/>
        <item x="4"/>
        <item x="17"/>
        <item x="97"/>
        <item x="44"/>
        <item x="55"/>
        <item x="10"/>
        <item x="74"/>
        <item x="24"/>
        <item x="91"/>
        <item x="98"/>
        <item x="39"/>
        <item x="48"/>
        <item x="13"/>
        <item x="88"/>
        <item x="38"/>
        <item x="71"/>
        <item x="18"/>
        <item x="84"/>
        <item x="114"/>
        <item x="43"/>
        <item x="68"/>
        <item x="76"/>
        <item x="107"/>
        <item x="26"/>
        <item x="121"/>
        <item x="73"/>
        <item x="35"/>
        <item x="64"/>
        <item x="66"/>
        <item x="113"/>
        <item x="78"/>
        <item x="104"/>
        <item x="86"/>
        <item x="29"/>
        <item x="50"/>
        <item x="90"/>
        <item x="41"/>
        <item x="124"/>
        <item x="45"/>
        <item x="21"/>
        <item x="8"/>
        <item x="82"/>
        <item x="92"/>
        <item x="27"/>
        <item x="69"/>
        <item x="42"/>
        <item x="12"/>
        <item x="22"/>
        <item x="83"/>
        <item x="100"/>
        <item x="16"/>
        <item x="3"/>
        <item x="56"/>
        <item x="40"/>
        <item x="15"/>
        <item x="120"/>
        <item x="20"/>
        <item x="105"/>
        <item x="119"/>
        <item x="112"/>
        <item x="94"/>
        <item x="52"/>
        <item x="111"/>
        <item x="58"/>
        <item x="32"/>
        <item x="109"/>
        <item x="1"/>
        <item x="95"/>
        <item x="31"/>
        <item x="2"/>
        <item x="93"/>
        <item x="53"/>
        <item x="101"/>
        <item x="80"/>
        <item x="46"/>
        <item x="110"/>
        <item x="5"/>
        <item x="96"/>
        <item x="19"/>
        <item x="125"/>
        <item x="9"/>
        <item x="49"/>
        <item t="default"/>
      </items>
    </pivotField>
    <pivotField showAll="0"/>
    <pivotField showAll="0"/>
    <pivotField showAll="0"/>
    <pivotField axis="axisRow" showAll="0" sortType="descending">
      <items count="6">
        <item x="1"/>
        <item x="0"/>
        <item x="3"/>
        <item x="2"/>
        <item x="4"/>
        <item t="default"/>
      </items>
      <autoSortScope>
        <pivotArea dataOnly="0" outline="0" fieldPosition="0">
          <references count="1">
            <reference field="4294967294" count="1" selected="0">
              <x v="0"/>
            </reference>
          </references>
        </pivotArea>
      </autoSortScope>
    </pivotField>
    <pivotField dataField="1" showAll="0">
      <items count="6">
        <item x="2"/>
        <item x="0"/>
        <item x="1"/>
        <item x="3"/>
        <item x="4"/>
        <item t="default"/>
      </items>
    </pivotField>
    <pivotField showAll="0">
      <items count="10">
        <item x="8"/>
        <item x="2"/>
        <item x="0"/>
        <item x="5"/>
        <item x="7"/>
        <item x="4"/>
        <item x="6"/>
        <item x="1"/>
        <item x="3"/>
        <item t="default"/>
      </items>
    </pivotField>
    <pivotField numFmtId="1" showAll="0">
      <items count="10">
        <item x="3"/>
        <item x="1"/>
        <item x="6"/>
        <item x="4"/>
        <item x="7"/>
        <item x="5"/>
        <item x="0"/>
        <item x="2"/>
        <item x="8"/>
        <item t="default"/>
      </items>
    </pivotField>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0"/>
  </rowFields>
  <rowItems count="6">
    <i>
      <x/>
    </i>
    <i>
      <x v="2"/>
    </i>
    <i>
      <x v="4"/>
    </i>
    <i>
      <x v="1"/>
    </i>
    <i>
      <x v="3"/>
    </i>
    <i t="grand">
      <x/>
    </i>
  </rowItems>
  <colItems count="1">
    <i/>
  </colItems>
  <dataFields count="1">
    <dataField name="Sum of Bonus_Performance" fld="11" baseField="0" baseItem="0"/>
  </dataFields>
  <chartFormats count="1">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C14E07-3C94-4A80-A610-B6C88CD3898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showAll="0"/>
    <pivotField showAll="0"/>
    <pivotField showAll="0"/>
    <pivotField showAll="0">
      <items count="146">
        <item x="35"/>
        <item x="70"/>
        <item x="91"/>
        <item x="60"/>
        <item x="30"/>
        <item x="135"/>
        <item x="68"/>
        <item x="29"/>
        <item x="132"/>
        <item x="88"/>
        <item x="96"/>
        <item x="76"/>
        <item x="16"/>
        <item x="2"/>
        <item x="9"/>
        <item x="11"/>
        <item x="143"/>
        <item x="123"/>
        <item x="44"/>
        <item x="100"/>
        <item x="141"/>
        <item x="109"/>
        <item x="23"/>
        <item x="19"/>
        <item x="50"/>
        <item x="71"/>
        <item x="63"/>
        <item x="103"/>
        <item x="105"/>
        <item x="47"/>
        <item x="73"/>
        <item x="34"/>
        <item x="131"/>
        <item x="64"/>
        <item x="61"/>
        <item x="111"/>
        <item x="85"/>
        <item x="59"/>
        <item x="17"/>
        <item x="20"/>
        <item x="134"/>
        <item x="125"/>
        <item x="116"/>
        <item x="39"/>
        <item x="67"/>
        <item x="128"/>
        <item x="0"/>
        <item x="98"/>
        <item x="55"/>
        <item x="86"/>
        <item x="40"/>
        <item x="120"/>
        <item x="92"/>
        <item x="28"/>
        <item x="18"/>
        <item x="133"/>
        <item x="89"/>
        <item x="8"/>
        <item x="122"/>
        <item x="121"/>
        <item x="129"/>
        <item x="77"/>
        <item x="90"/>
        <item x="51"/>
        <item x="139"/>
        <item x="104"/>
        <item x="95"/>
        <item x="42"/>
        <item x="72"/>
        <item x="65"/>
        <item x="75"/>
        <item x="136"/>
        <item x="87"/>
        <item x="43"/>
        <item x="26"/>
        <item x="32"/>
        <item x="45"/>
        <item x="84"/>
        <item x="14"/>
        <item x="5"/>
        <item x="99"/>
        <item x="137"/>
        <item x="10"/>
        <item x="38"/>
        <item x="58"/>
        <item x="112"/>
        <item x="48"/>
        <item x="107"/>
        <item x="13"/>
        <item x="41"/>
        <item x="94"/>
        <item x="82"/>
        <item x="7"/>
        <item x="118"/>
        <item x="54"/>
        <item x="52"/>
        <item x="101"/>
        <item x="21"/>
        <item x="12"/>
        <item x="130"/>
        <item x="80"/>
        <item x="102"/>
        <item x="66"/>
        <item x="106"/>
        <item x="83"/>
        <item x="46"/>
        <item x="74"/>
        <item x="93"/>
        <item x="115"/>
        <item x="114"/>
        <item x="33"/>
        <item x="119"/>
        <item x="49"/>
        <item x="36"/>
        <item x="127"/>
        <item x="124"/>
        <item x="110"/>
        <item x="108"/>
        <item x="142"/>
        <item x="24"/>
        <item x="37"/>
        <item x="79"/>
        <item x="27"/>
        <item x="1"/>
        <item x="69"/>
        <item x="62"/>
        <item x="144"/>
        <item x="22"/>
        <item x="78"/>
        <item x="4"/>
        <item x="3"/>
        <item x="117"/>
        <item x="113"/>
        <item x="140"/>
        <item x="53"/>
        <item x="126"/>
        <item x="138"/>
        <item x="25"/>
        <item x="15"/>
        <item x="97"/>
        <item x="31"/>
        <item x="81"/>
        <item x="57"/>
        <item x="56"/>
        <item x="6"/>
        <item t="default"/>
      </items>
    </pivotField>
    <pivotField showAll="0"/>
    <pivotField showAll="0"/>
    <pivotField showAll="0"/>
    <pivotField showAll="0"/>
    <pivotField showAll="0"/>
    <pivotField showAll="0">
      <items count="6">
        <item x="2"/>
        <item x="0"/>
        <item x="1"/>
        <item x="3"/>
        <item x="4"/>
        <item t="default"/>
      </items>
    </pivotField>
    <pivotField showAll="0">
      <items count="10">
        <item x="8"/>
        <item x="2"/>
        <item x="0"/>
        <item x="5"/>
        <item x="7"/>
        <item x="4"/>
        <item x="6"/>
        <item x="1"/>
        <item x="3"/>
        <item t="default"/>
      </items>
    </pivotField>
    <pivotField numFmtId="1" showAll="0">
      <items count="10">
        <item x="3"/>
        <item x="1"/>
        <item x="6"/>
        <item x="4"/>
        <item x="7"/>
        <item x="5"/>
        <item x="0"/>
        <item x="2"/>
        <item x="8"/>
        <item t="default"/>
      </items>
    </pivotField>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Total Employee" fld="0" subtotal="count" baseField="0" baseItem="0"/>
  </dataFields>
  <formats count="1">
    <format dxfId="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FE62CC-223B-446F-80F6-B23F4E13480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G13" firstHeaderRow="1" firstDataRow="1" firstDataCol="0"/>
  <pivotFields count="17">
    <pivotField showAll="0"/>
    <pivotField showAll="0"/>
    <pivotField showAll="0"/>
    <pivotField showAll="0"/>
    <pivotField showAll="0"/>
    <pivotField showAll="0">
      <items count="146">
        <item x="35"/>
        <item x="70"/>
        <item x="91"/>
        <item x="60"/>
        <item x="30"/>
        <item x="135"/>
        <item x="68"/>
        <item x="29"/>
        <item x="132"/>
        <item x="88"/>
        <item x="96"/>
        <item x="76"/>
        <item x="16"/>
        <item x="2"/>
        <item x="9"/>
        <item x="11"/>
        <item x="143"/>
        <item x="123"/>
        <item x="44"/>
        <item x="100"/>
        <item x="141"/>
        <item x="109"/>
        <item x="23"/>
        <item x="19"/>
        <item x="50"/>
        <item x="71"/>
        <item x="63"/>
        <item x="103"/>
        <item x="105"/>
        <item x="47"/>
        <item x="73"/>
        <item x="34"/>
        <item x="131"/>
        <item x="64"/>
        <item x="61"/>
        <item x="111"/>
        <item x="85"/>
        <item x="59"/>
        <item x="17"/>
        <item x="20"/>
        <item x="134"/>
        <item x="125"/>
        <item x="116"/>
        <item x="39"/>
        <item x="67"/>
        <item x="128"/>
        <item x="0"/>
        <item x="98"/>
        <item x="55"/>
        <item x="86"/>
        <item x="40"/>
        <item x="120"/>
        <item x="92"/>
        <item x="28"/>
        <item x="18"/>
        <item x="133"/>
        <item x="89"/>
        <item x="8"/>
        <item x="122"/>
        <item x="121"/>
        <item x="129"/>
        <item x="77"/>
        <item x="90"/>
        <item x="51"/>
        <item x="139"/>
        <item x="104"/>
        <item x="95"/>
        <item x="42"/>
        <item x="72"/>
        <item x="65"/>
        <item x="75"/>
        <item x="136"/>
        <item x="87"/>
        <item x="43"/>
        <item x="26"/>
        <item x="32"/>
        <item x="45"/>
        <item x="84"/>
        <item x="14"/>
        <item x="5"/>
        <item x="99"/>
        <item x="137"/>
        <item x="10"/>
        <item x="38"/>
        <item x="58"/>
        <item x="112"/>
        <item x="48"/>
        <item x="107"/>
        <item x="13"/>
        <item x="41"/>
        <item x="94"/>
        <item x="82"/>
        <item x="7"/>
        <item x="118"/>
        <item x="54"/>
        <item x="52"/>
        <item x="101"/>
        <item x="21"/>
        <item x="12"/>
        <item x="130"/>
        <item x="80"/>
        <item x="102"/>
        <item x="66"/>
        <item x="106"/>
        <item x="83"/>
        <item x="46"/>
        <item x="74"/>
        <item x="93"/>
        <item x="115"/>
        <item x="114"/>
        <item x="33"/>
        <item x="119"/>
        <item x="49"/>
        <item x="36"/>
        <item x="127"/>
        <item x="124"/>
        <item x="110"/>
        <item x="108"/>
        <item x="142"/>
        <item x="24"/>
        <item x="37"/>
        <item x="79"/>
        <item x="27"/>
        <item x="1"/>
        <item x="69"/>
        <item x="62"/>
        <item x="144"/>
        <item x="22"/>
        <item x="78"/>
        <item x="4"/>
        <item x="3"/>
        <item x="117"/>
        <item x="113"/>
        <item x="140"/>
        <item x="53"/>
        <item x="126"/>
        <item x="138"/>
        <item x="25"/>
        <item x="15"/>
        <item x="97"/>
        <item x="31"/>
        <item x="81"/>
        <item x="57"/>
        <item x="56"/>
        <item x="6"/>
        <item t="default"/>
      </items>
    </pivotField>
    <pivotField dataField="1" showAll="0"/>
    <pivotField showAll="0"/>
    <pivotField showAll="0"/>
    <pivotField showAll="0"/>
    <pivotField showAll="0"/>
    <pivotField showAll="0">
      <items count="6">
        <item x="2"/>
        <item x="0"/>
        <item x="1"/>
        <item x="3"/>
        <item x="4"/>
        <item t="default"/>
      </items>
    </pivotField>
    <pivotField showAll="0">
      <items count="10">
        <item x="8"/>
        <item x="2"/>
        <item x="0"/>
        <item x="5"/>
        <item x="7"/>
        <item x="4"/>
        <item x="6"/>
        <item x="1"/>
        <item x="3"/>
        <item t="default"/>
      </items>
    </pivotField>
    <pivotField numFmtId="1" showAll="0">
      <items count="10">
        <item x="3"/>
        <item x="1"/>
        <item x="6"/>
        <item x="4"/>
        <item x="7"/>
        <item x="5"/>
        <item x="0"/>
        <item x="2"/>
        <item x="8"/>
        <item t="default"/>
      </items>
    </pivotField>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Average of Salary" fld="6" subtotal="average" baseField="0" baseItem="0" numFmtId="1"/>
  </dataFields>
  <formats count="2">
    <format dxfId="65">
      <pivotArea dataOnly="0" labelOnly="1" outline="0" axis="axisValues" fieldPosition="0"/>
    </format>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8A822D-B627-4514-9E9F-E7BEFC32460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Employment Status">
  <location ref="D12:E16" firstHeaderRow="1" firstDataRow="1" firstDataCol="1"/>
  <pivotFields count="17">
    <pivotField showAll="0"/>
    <pivotField showAll="0"/>
    <pivotField showAll="0"/>
    <pivotField showAll="0"/>
    <pivotField showAll="0"/>
    <pivotField showAll="0">
      <items count="146">
        <item x="35"/>
        <item x="70"/>
        <item x="91"/>
        <item x="60"/>
        <item x="30"/>
        <item x="135"/>
        <item x="68"/>
        <item x="29"/>
        <item x="132"/>
        <item x="88"/>
        <item x="96"/>
        <item x="76"/>
        <item x="16"/>
        <item x="2"/>
        <item x="9"/>
        <item x="11"/>
        <item x="143"/>
        <item x="123"/>
        <item x="44"/>
        <item x="100"/>
        <item x="141"/>
        <item x="109"/>
        <item x="23"/>
        <item x="19"/>
        <item x="50"/>
        <item x="71"/>
        <item x="63"/>
        <item x="103"/>
        <item x="105"/>
        <item x="47"/>
        <item x="73"/>
        <item x="34"/>
        <item x="131"/>
        <item x="64"/>
        <item x="61"/>
        <item x="111"/>
        <item x="85"/>
        <item x="59"/>
        <item x="17"/>
        <item x="20"/>
        <item x="134"/>
        <item x="125"/>
        <item x="116"/>
        <item x="39"/>
        <item x="67"/>
        <item x="128"/>
        <item x="0"/>
        <item x="98"/>
        <item x="55"/>
        <item x="86"/>
        <item x="40"/>
        <item x="120"/>
        <item x="92"/>
        <item x="28"/>
        <item x="18"/>
        <item x="133"/>
        <item x="89"/>
        <item x="8"/>
        <item x="122"/>
        <item x="121"/>
        <item x="129"/>
        <item x="77"/>
        <item x="90"/>
        <item x="51"/>
        <item x="139"/>
        <item x="104"/>
        <item x="95"/>
        <item x="42"/>
        <item x="72"/>
        <item x="65"/>
        <item x="75"/>
        <item x="136"/>
        <item x="87"/>
        <item x="43"/>
        <item x="26"/>
        <item x="32"/>
        <item x="45"/>
        <item x="84"/>
        <item x="14"/>
        <item x="5"/>
        <item x="99"/>
        <item x="137"/>
        <item x="10"/>
        <item x="38"/>
        <item x="58"/>
        <item x="112"/>
        <item x="48"/>
        <item x="107"/>
        <item x="13"/>
        <item x="41"/>
        <item x="94"/>
        <item x="82"/>
        <item x="7"/>
        <item x="118"/>
        <item x="54"/>
        <item x="52"/>
        <item x="101"/>
        <item x="21"/>
        <item x="12"/>
        <item x="130"/>
        <item x="80"/>
        <item x="102"/>
        <item x="66"/>
        <item x="106"/>
        <item x="83"/>
        <item x="46"/>
        <item x="74"/>
        <item x="93"/>
        <item x="115"/>
        <item x="114"/>
        <item x="33"/>
        <item x="119"/>
        <item x="49"/>
        <item x="36"/>
        <item x="127"/>
        <item x="124"/>
        <item x="110"/>
        <item x="108"/>
        <item x="142"/>
        <item x="24"/>
        <item x="37"/>
        <item x="79"/>
        <item x="27"/>
        <item x="1"/>
        <item x="69"/>
        <item x="62"/>
        <item x="144"/>
        <item x="22"/>
        <item x="78"/>
        <item x="4"/>
        <item x="3"/>
        <item x="117"/>
        <item x="113"/>
        <item x="140"/>
        <item x="53"/>
        <item x="126"/>
        <item x="138"/>
        <item x="25"/>
        <item x="15"/>
        <item x="97"/>
        <item x="31"/>
        <item x="81"/>
        <item x="57"/>
        <item x="56"/>
        <item x="6"/>
        <item t="default"/>
      </items>
    </pivotField>
    <pivotField showAll="0"/>
    <pivotField dataField="1" showAll="0"/>
    <pivotField axis="axisRow" showAll="0">
      <items count="4">
        <item sd="0" x="0"/>
        <item x="1"/>
        <item sd="0" x="2"/>
        <item t="default"/>
      </items>
    </pivotField>
    <pivotField showAll="0"/>
    <pivotField showAll="0"/>
    <pivotField showAll="0">
      <items count="6">
        <item x="2"/>
        <item x="0"/>
        <item x="1"/>
        <item x="3"/>
        <item x="4"/>
        <item t="default"/>
      </items>
    </pivotField>
    <pivotField showAll="0">
      <items count="10">
        <item x="8"/>
        <item x="2"/>
        <item x="0"/>
        <item x="5"/>
        <item x="7"/>
        <item x="4"/>
        <item x="6"/>
        <item x="1"/>
        <item x="3"/>
        <item t="default"/>
      </items>
    </pivotField>
    <pivotField numFmtId="1" showAll="0">
      <items count="10">
        <item x="3"/>
        <item x="1"/>
        <item x="6"/>
        <item x="4"/>
        <item x="7"/>
        <item x="5"/>
        <item x="0"/>
        <item x="2"/>
        <item x="8"/>
        <item t="default"/>
      </items>
    </pivotField>
    <pivotField showAll="0">
      <items count="15">
        <item x="0"/>
        <item h="1"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8"/>
  </rowFields>
  <rowItems count="4">
    <i>
      <x/>
    </i>
    <i>
      <x v="1"/>
    </i>
    <i>
      <x v="2"/>
    </i>
    <i t="grand">
      <x/>
    </i>
  </rowItems>
  <colItems count="1">
    <i/>
  </colItems>
  <dataFields count="1">
    <dataField name="Average of Performance_Score" fld="7" subtotal="average" baseField="8" baseItem="0"/>
  </dataFields>
  <formats count="4">
    <format dxfId="69">
      <pivotArea dataOnly="0" labelOnly="1" outline="0" axis="axisValues" fieldPosition="0"/>
    </format>
    <format dxfId="68">
      <pivotArea collapsedLevelsAreSubtotals="1" fieldPosition="0">
        <references count="1">
          <reference field="8" count="1">
            <x v="0"/>
          </reference>
        </references>
      </pivotArea>
    </format>
    <format dxfId="67">
      <pivotArea collapsedLevelsAreSubtotals="1" fieldPosition="0">
        <references count="1">
          <reference field="8" count="1">
            <x v="1"/>
          </reference>
        </references>
      </pivotArea>
    </format>
    <format dxfId="66">
      <pivotArea collapsedLevelsAreSubtotals="1" fieldPosition="0">
        <references count="1">
          <reference field="8" count="1">
            <x v="2"/>
          </reference>
        </references>
      </pivotArea>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8" count="1" selected="0">
            <x v="0"/>
          </reference>
        </references>
      </pivotArea>
    </chartFormat>
    <chartFormat chart="7" format="10">
      <pivotArea type="data" outline="0" fieldPosition="0">
        <references count="2">
          <reference field="4294967294" count="1" selected="0">
            <x v="0"/>
          </reference>
          <reference field="8" count="1" selected="0">
            <x v="1"/>
          </reference>
        </references>
      </pivotArea>
    </chartFormat>
    <chartFormat chart="7"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8FFEF2E-C1F0-4F50-9335-60682502DA8A}" sourceName="Years">
  <pivotTables>
    <pivotTable tabId="5" name="PivotTable12"/>
    <pivotTable tabId="5" name="PivotTable1"/>
    <pivotTable tabId="5" name="PivotTable10"/>
    <pivotTable tabId="5" name="PivotTable11"/>
    <pivotTable tabId="5" name="PivotTable3"/>
    <pivotTable tabId="5" name="PivotTable5"/>
    <pivotTable tabId="5" name="PivotTable7"/>
    <pivotTable tabId="5" name="PivotTable9"/>
  </pivotTables>
  <data>
    <tabular pivotCacheId="214366075">
      <items count="9">
        <i x="8" s="1"/>
        <i x="2" s="1"/>
        <i x="0" s="1"/>
        <i x="5" s="1"/>
        <i x="7" s="1"/>
        <i x="4" s="1"/>
        <i x="6"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of_Service" xr10:uid="{6118EAED-5618-473B-9FAC-4BBF123EA598}" sourceName="Years_of_Service">
  <pivotTables>
    <pivotTable tabId="5" name="PivotTable10"/>
    <pivotTable tabId="5" name="PivotTable1"/>
    <pivotTable tabId="5" name="PivotTable11"/>
    <pivotTable tabId="5" name="PivotTable12"/>
    <pivotTable tabId="5" name="PivotTable3"/>
    <pivotTable tabId="5" name="PivotTable5"/>
    <pivotTable tabId="5" name="PivotTable7"/>
    <pivotTable tabId="5" name="PivotTable9"/>
  </pivotTables>
  <data>
    <tabular pivotCacheId="214366075">
      <items count="9">
        <i x="3" s="1"/>
        <i x="1" s="1"/>
        <i x="6" s="1"/>
        <i x="4" s="1"/>
        <i x="7" s="1"/>
        <i x="5" s="1"/>
        <i x="0" s="1"/>
        <i x="2"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nus_Performance" xr10:uid="{D49ED84C-CC52-4912-9790-640A29B93A31}" sourceName="Bonus_Performance">
  <pivotTables>
    <pivotTable tabId="5" name="PivotTable7"/>
    <pivotTable tabId="5" name="PivotTable1"/>
    <pivotTable tabId="5" name="PivotTable10"/>
    <pivotTable tabId="5" name="PivotTable11"/>
    <pivotTable tabId="5" name="PivotTable12"/>
    <pivotTable tabId="5" name="PivotTable3"/>
    <pivotTable tabId="5" name="PivotTable5"/>
    <pivotTable tabId="5" name="PivotTable9"/>
  </pivotTables>
  <data>
    <tabular pivotCacheId="214366075">
      <items count="5">
        <i x="2" s="1"/>
        <i x="0"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Hire_Date" xr10:uid="{38C96E41-F2F5-46EC-8B27-55E84A011908}" sourceName="Months (Hire_Date)">
  <pivotTables>
    <pivotTable tabId="5" name="PivotTable7"/>
    <pivotTable tabId="5" name="PivotTable1"/>
    <pivotTable tabId="5" name="PivotTable10"/>
    <pivotTable tabId="5" name="PivotTable11"/>
    <pivotTable tabId="5" name="PivotTable12"/>
    <pivotTable tabId="5" name="PivotTable3"/>
    <pivotTable tabId="5" name="PivotTable5"/>
    <pivotTable tabId="5" name="PivotTable9"/>
  </pivotTables>
  <data>
    <tabular pivotCacheId="214366075">
      <items count="14">
        <i x="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nus_Performance" xr10:uid="{D3585AE7-B8AF-43BC-B1B7-B52F68919643}" cache="Slicer_Bonus_Performance" caption="Bonus_Performance" rowHeight="234950"/>
  <slicer name="Months (Hire_Date)" xr10:uid="{B9B49114-2C4C-4901-B946-E1977C43AA4C}" cache="Slicer_Months__Hire_Date" caption="Months (Hire_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D4C3DE9C-D3B6-4827-8027-5FD8CBB9981D}" cache="Slicer_Years" caption="Years" columnCount="3" style="SlicerStyleDark3 2 2" rowHeight="234950"/>
  <slicer name="Years_of_Service 1" xr10:uid="{F922F8A3-9878-48C7-B82D-60620B3B1848}" cache="Slicer_Years_of_Service" caption="Years_of_Service" columnCount="3" style="SlicerStyleDark3 2 2" rowHeight="234950"/>
  <slicer name="Bonus_Performance 1" xr10:uid="{7D9E0839-4ABC-4A23-9F2D-C12309773C50}" cache="Slicer_Bonus_Performance" caption="Bonus_Performance" style="SlicerStyleDark3 2 2" rowHeight="234950"/>
  <slicer name="Months (Hire_Date) 1" xr10:uid="{3D3FEE75-103C-4E03-80AE-50304D0C397C}" cache="Slicer_Months__Hire_Date" caption="Months (Hire_Date)" style="SlicerStyleDark3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51C7E9-C9E4-4E01-94E5-1B11F514BE69}" name="Table2" displayName="Table2" ref="A1:N151" totalsRowShown="0" headerRowDxfId="55" dataDxfId="54">
  <autoFilter ref="A1:N151" xr:uid="{7D51C7E9-C9E4-4E01-94E5-1B11F514BE69}"/>
  <tableColumns count="14">
    <tableColumn id="1" xr3:uid="{6DB992B1-119D-4BD2-A1F8-EF9D5C13201B}" name="Emp_ID" dataDxfId="53"/>
    <tableColumn id="2" xr3:uid="{3310F7BA-11BD-4329-A5DF-E38F6D56EACF}" name="First_Name" dataDxfId="52"/>
    <tableColumn id="3" xr3:uid="{7DC48E3C-67F0-414C-915C-D5F5284C58AD}" name="Last_Name" dataDxfId="51"/>
    <tableColumn id="4" xr3:uid="{BBD3ECB4-E343-42A2-9266-54768F693956}" name="Full_Name" dataDxfId="50"/>
    <tableColumn id="5" xr3:uid="{351D559D-F391-4953-87A7-A8F029E408D4}" name="Department_Code" dataDxfId="49"/>
    <tableColumn id="6" xr3:uid="{1BACF0D8-1D3B-45FA-B2A0-9EFC39CA3AD8}" name="Hire_Date" dataDxfId="48"/>
    <tableColumn id="7" xr3:uid="{8D6FC905-AFD7-4268-B816-345AF0001A85}" name="Salary" dataDxfId="47"/>
    <tableColumn id="8" xr3:uid="{34FC8E24-657B-4226-9109-F848B8CC39DA}" name="Performance_Score" dataDxfId="46"/>
    <tableColumn id="9" xr3:uid="{10F314D5-F19F-4409-9F6A-6ECDC7E0F5D1}" name="Employment_Status" dataDxfId="45"/>
    <tableColumn id="10" xr3:uid="{D6AAE02C-8514-46A2-800F-D95304F3032A}" name="Department_Name" dataDxfId="44">
      <calculatedColumnFormula>VLOOKUP(E2,Lookup_Departments!$A$1:$B$7,2,FALSE)</calculatedColumnFormula>
    </tableColumn>
    <tableColumn id="11" xr3:uid="{B4854DA7-CB92-49B0-A3CF-0DBDEE639838}" name="Performance_Band" dataDxfId="43">
      <calculatedColumnFormula>VLOOKUP(H2,Lookup_Performance!$A$1:$D$6,3,TRUE)</calculatedColumnFormula>
    </tableColumn>
    <tableColumn id="12" xr3:uid="{CE66A766-2550-4351-8739-D847CCEE9484}" name="Bonus_Performance" dataDxfId="42" dataCellStyle="Per cent">
      <calculatedColumnFormula>VLOOKUP(H2,Lookup_Performance!$A$1:$D$6,4,TRUE)</calculatedColumnFormula>
    </tableColumn>
    <tableColumn id="13" xr3:uid="{80C556AA-6AB5-4EDF-93C4-5618ED0F45E5}" name="Years" dataDxfId="41">
      <calculatedColumnFormula>TEXT(F2, "yyyy")</calculatedColumnFormula>
    </tableColumn>
    <tableColumn id="14" xr3:uid="{FAB68AFD-248E-4602-92E3-ED9EA7E16D3E}" name="Years_of_Service" dataDxfId="4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1"/>
  <sheetViews>
    <sheetView zoomScale="70" zoomScaleNormal="70" workbookViewId="0">
      <selection activeCell="H2" sqref="H2:H151"/>
    </sheetView>
  </sheetViews>
  <sheetFormatPr defaultColWidth="28.44140625" defaultRowHeight="14.4" x14ac:dyDescent="0.3"/>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s="2">
        <v>43093</v>
      </c>
      <c r="F2">
        <v>50361</v>
      </c>
      <c r="G2">
        <v>52</v>
      </c>
      <c r="H2" t="s">
        <v>12</v>
      </c>
    </row>
    <row r="3" spans="1:8" x14ac:dyDescent="0.3">
      <c r="A3" t="s">
        <v>13</v>
      </c>
      <c r="B3" t="s">
        <v>14</v>
      </c>
      <c r="C3" t="s">
        <v>15</v>
      </c>
      <c r="D3" t="s">
        <v>16</v>
      </c>
      <c r="E3" s="2">
        <v>44659</v>
      </c>
      <c r="F3">
        <v>112673</v>
      </c>
      <c r="H3" t="s">
        <v>17</v>
      </c>
    </row>
    <row r="4" spans="1:8" x14ac:dyDescent="0.3">
      <c r="A4" t="s">
        <v>18</v>
      </c>
      <c r="B4" t="s">
        <v>9</v>
      </c>
      <c r="C4" t="s">
        <v>19</v>
      </c>
      <c r="D4" t="s">
        <v>20</v>
      </c>
      <c r="E4" s="2">
        <v>42431</v>
      </c>
      <c r="F4" t="s">
        <v>21</v>
      </c>
      <c r="G4">
        <v>54</v>
      </c>
      <c r="H4" t="s">
        <v>22</v>
      </c>
    </row>
    <row r="5" spans="1:8" x14ac:dyDescent="0.3">
      <c r="A5" t="s">
        <v>23</v>
      </c>
      <c r="B5" t="s">
        <v>24</v>
      </c>
      <c r="C5" t="s">
        <v>25</v>
      </c>
      <c r="D5" t="s">
        <v>26</v>
      </c>
      <c r="E5" s="2">
        <v>45110</v>
      </c>
      <c r="F5">
        <v>103831</v>
      </c>
      <c r="G5">
        <v>70</v>
      </c>
      <c r="H5" t="s">
        <v>12</v>
      </c>
    </row>
    <row r="6" spans="1:8" x14ac:dyDescent="0.3">
      <c r="A6" t="s">
        <v>27</v>
      </c>
      <c r="B6" t="s">
        <v>28</v>
      </c>
      <c r="C6" t="s">
        <v>29</v>
      </c>
      <c r="D6" t="s">
        <v>11</v>
      </c>
      <c r="E6" s="2">
        <v>44977</v>
      </c>
      <c r="F6">
        <v>73785</v>
      </c>
      <c r="G6">
        <v>40</v>
      </c>
      <c r="H6" t="s">
        <v>30</v>
      </c>
    </row>
    <row r="7" spans="1:8" x14ac:dyDescent="0.3">
      <c r="A7" t="s">
        <v>31</v>
      </c>
      <c r="B7" t="s">
        <v>9</v>
      </c>
      <c r="C7" t="s">
        <v>32</v>
      </c>
      <c r="D7" t="s">
        <v>33</v>
      </c>
      <c r="E7" s="3" t="s">
        <v>34</v>
      </c>
      <c r="F7">
        <v>115882</v>
      </c>
      <c r="G7">
        <v>49</v>
      </c>
      <c r="H7" t="s">
        <v>17</v>
      </c>
    </row>
    <row r="8" spans="1:8" x14ac:dyDescent="0.3">
      <c r="A8" t="s">
        <v>35</v>
      </c>
      <c r="B8" t="s">
        <v>24</v>
      </c>
      <c r="C8" t="s">
        <v>36</v>
      </c>
      <c r="D8" t="s">
        <v>37</v>
      </c>
      <c r="E8" s="2">
        <v>45272</v>
      </c>
      <c r="F8">
        <v>59980</v>
      </c>
      <c r="G8">
        <v>70</v>
      </c>
      <c r="H8" t="s">
        <v>30</v>
      </c>
    </row>
    <row r="9" spans="1:8" x14ac:dyDescent="0.3">
      <c r="A9" t="s">
        <v>38</v>
      </c>
      <c r="B9" t="s">
        <v>39</v>
      </c>
      <c r="C9" t="s">
        <v>29</v>
      </c>
      <c r="D9" t="s">
        <v>37</v>
      </c>
      <c r="E9" s="2">
        <v>44174</v>
      </c>
      <c r="F9">
        <v>68728</v>
      </c>
      <c r="G9">
        <v>45</v>
      </c>
      <c r="H9" t="s">
        <v>17</v>
      </c>
    </row>
    <row r="10" spans="1:8" x14ac:dyDescent="0.3">
      <c r="A10" t="s">
        <v>40</v>
      </c>
      <c r="C10" t="s">
        <v>41</v>
      </c>
      <c r="D10" t="s">
        <v>26</v>
      </c>
      <c r="E10" s="2">
        <v>43107</v>
      </c>
      <c r="F10">
        <v>102139</v>
      </c>
      <c r="G10">
        <v>79</v>
      </c>
      <c r="H10" t="s">
        <v>12</v>
      </c>
    </row>
    <row r="11" spans="1:8" x14ac:dyDescent="0.3">
      <c r="A11" t="s">
        <v>42</v>
      </c>
      <c r="B11" t="s">
        <v>43</v>
      </c>
      <c r="C11" t="s">
        <v>25</v>
      </c>
      <c r="D11" t="s">
        <v>44</v>
      </c>
      <c r="E11" s="2">
        <v>42676</v>
      </c>
      <c r="F11">
        <v>94998</v>
      </c>
      <c r="G11">
        <v>58</v>
      </c>
      <c r="H11" t="s">
        <v>45</v>
      </c>
    </row>
    <row r="12" spans="1:8" x14ac:dyDescent="0.3">
      <c r="A12" t="s">
        <v>46</v>
      </c>
      <c r="B12" t="s">
        <v>9</v>
      </c>
      <c r="C12" t="s">
        <v>47</v>
      </c>
      <c r="D12" t="s">
        <v>48</v>
      </c>
      <c r="E12" s="2">
        <v>43911</v>
      </c>
      <c r="F12" t="s">
        <v>49</v>
      </c>
      <c r="G12">
        <v>49</v>
      </c>
      <c r="H12" t="s">
        <v>45</v>
      </c>
    </row>
    <row r="13" spans="1:8" x14ac:dyDescent="0.3">
      <c r="A13" t="s">
        <v>50</v>
      </c>
      <c r="B13" t="s">
        <v>9</v>
      </c>
      <c r="C13" t="s">
        <v>15</v>
      </c>
      <c r="D13" t="s">
        <v>11</v>
      </c>
      <c r="E13" s="2">
        <v>42425</v>
      </c>
      <c r="F13">
        <v>76918</v>
      </c>
      <c r="G13">
        <v>62</v>
      </c>
      <c r="H13" t="s">
        <v>51</v>
      </c>
    </row>
    <row r="14" spans="1:8" x14ac:dyDescent="0.3">
      <c r="A14" t="s">
        <v>52</v>
      </c>
      <c r="B14" t="s">
        <v>53</v>
      </c>
      <c r="C14" t="s">
        <v>54</v>
      </c>
      <c r="D14" t="s">
        <v>55</v>
      </c>
      <c r="E14" t="s">
        <v>56</v>
      </c>
      <c r="F14">
        <v>61408</v>
      </c>
      <c r="G14">
        <v>48</v>
      </c>
      <c r="H14" t="s">
        <v>17</v>
      </c>
    </row>
    <row r="15" spans="1:8" x14ac:dyDescent="0.3">
      <c r="A15" t="s">
        <v>57</v>
      </c>
      <c r="B15" t="s">
        <v>53</v>
      </c>
      <c r="C15" t="s">
        <v>47</v>
      </c>
      <c r="D15" t="s">
        <v>16</v>
      </c>
      <c r="E15" s="2">
        <v>44001</v>
      </c>
      <c r="F15">
        <v>99990</v>
      </c>
      <c r="G15">
        <v>54</v>
      </c>
      <c r="H15" t="s">
        <v>51</v>
      </c>
    </row>
    <row r="16" spans="1:8" x14ac:dyDescent="0.3">
      <c r="A16" t="s">
        <v>58</v>
      </c>
      <c r="B16" t="s">
        <v>59</v>
      </c>
      <c r="C16" t="s">
        <v>60</v>
      </c>
      <c r="D16" t="s">
        <v>61</v>
      </c>
      <c r="E16" s="2">
        <v>43820</v>
      </c>
      <c r="F16">
        <v>80385</v>
      </c>
      <c r="H16" t="s">
        <v>12</v>
      </c>
    </row>
    <row r="17" spans="1:8" x14ac:dyDescent="0.3">
      <c r="A17" t="s">
        <v>62</v>
      </c>
      <c r="B17" t="s">
        <v>28</v>
      </c>
      <c r="C17" t="s">
        <v>41</v>
      </c>
      <c r="D17" t="s">
        <v>44</v>
      </c>
      <c r="E17" s="2">
        <v>45169</v>
      </c>
      <c r="F17">
        <v>65290</v>
      </c>
      <c r="G17">
        <v>77</v>
      </c>
      <c r="H17" t="s">
        <v>12</v>
      </c>
    </row>
    <row r="18" spans="1:8" x14ac:dyDescent="0.3">
      <c r="A18" t="s">
        <v>63</v>
      </c>
      <c r="B18" t="s">
        <v>9</v>
      </c>
      <c r="C18" t="s">
        <v>64</v>
      </c>
      <c r="D18" t="s">
        <v>11</v>
      </c>
      <c r="E18" s="2">
        <v>42337</v>
      </c>
      <c r="F18">
        <v>105765</v>
      </c>
      <c r="G18">
        <v>42</v>
      </c>
      <c r="H18" t="s">
        <v>45</v>
      </c>
    </row>
    <row r="19" spans="1:8" x14ac:dyDescent="0.3">
      <c r="A19" t="s">
        <v>65</v>
      </c>
      <c r="B19" t="s">
        <v>66</v>
      </c>
      <c r="C19" t="s">
        <v>25</v>
      </c>
      <c r="D19" t="s">
        <v>44</v>
      </c>
      <c r="E19" s="2">
        <v>42899</v>
      </c>
      <c r="F19">
        <v>102921</v>
      </c>
      <c r="G19">
        <v>49</v>
      </c>
      <c r="H19" t="s">
        <v>17</v>
      </c>
    </row>
    <row r="20" spans="1:8" x14ac:dyDescent="0.3">
      <c r="A20" t="s">
        <v>67</v>
      </c>
      <c r="B20" t="s">
        <v>68</v>
      </c>
      <c r="C20" t="s">
        <v>69</v>
      </c>
      <c r="D20" t="s">
        <v>16</v>
      </c>
      <c r="E20" s="2">
        <v>43235</v>
      </c>
      <c r="F20">
        <v>73984</v>
      </c>
      <c r="G20">
        <v>93</v>
      </c>
      <c r="H20" t="s">
        <v>51</v>
      </c>
    </row>
    <row r="21" spans="1:8" x14ac:dyDescent="0.3">
      <c r="A21" t="s">
        <v>70</v>
      </c>
      <c r="B21" t="s">
        <v>71</v>
      </c>
      <c r="C21" t="s">
        <v>19</v>
      </c>
      <c r="D21" t="s">
        <v>11</v>
      </c>
      <c r="E21" s="2">
        <v>42575</v>
      </c>
      <c r="G21">
        <v>75</v>
      </c>
      <c r="H21" t="s">
        <v>51</v>
      </c>
    </row>
    <row r="22" spans="1:8" x14ac:dyDescent="0.3">
      <c r="A22" t="s">
        <v>72</v>
      </c>
      <c r="B22" t="s">
        <v>43</v>
      </c>
      <c r="C22" t="s">
        <v>15</v>
      </c>
      <c r="D22" t="s">
        <v>26</v>
      </c>
      <c r="E22" s="2">
        <v>43076</v>
      </c>
      <c r="F22">
        <v>118527</v>
      </c>
      <c r="G22">
        <v>50</v>
      </c>
      <c r="H22" t="s">
        <v>51</v>
      </c>
    </row>
    <row r="23" spans="1:8" x14ac:dyDescent="0.3">
      <c r="A23" t="s">
        <v>73</v>
      </c>
      <c r="B23" t="s">
        <v>14</v>
      </c>
      <c r="C23" t="s">
        <v>15</v>
      </c>
      <c r="D23" t="s">
        <v>16</v>
      </c>
      <c r="E23" s="2">
        <v>44353</v>
      </c>
      <c r="F23">
        <v>107871</v>
      </c>
      <c r="G23">
        <v>88</v>
      </c>
      <c r="H23" t="s">
        <v>12</v>
      </c>
    </row>
    <row r="24" spans="1:8" x14ac:dyDescent="0.3">
      <c r="A24" t="s">
        <v>74</v>
      </c>
      <c r="B24" t="s">
        <v>43</v>
      </c>
      <c r="C24" t="s">
        <v>41</v>
      </c>
      <c r="D24" t="s">
        <v>20</v>
      </c>
      <c r="E24" s="2">
        <v>44815</v>
      </c>
      <c r="F24">
        <v>93956</v>
      </c>
      <c r="G24">
        <v>50</v>
      </c>
      <c r="H24" t="s">
        <v>22</v>
      </c>
    </row>
    <row r="25" spans="1:8" x14ac:dyDescent="0.3">
      <c r="A25" t="s">
        <v>75</v>
      </c>
      <c r="B25" t="s">
        <v>39</v>
      </c>
      <c r="C25" t="s">
        <v>32</v>
      </c>
      <c r="D25" t="s">
        <v>76</v>
      </c>
      <c r="E25" s="2">
        <v>42565</v>
      </c>
      <c r="F25">
        <v>100851</v>
      </c>
      <c r="G25">
        <v>64</v>
      </c>
      <c r="H25" t="s">
        <v>17</v>
      </c>
    </row>
    <row r="26" spans="1:8" x14ac:dyDescent="0.3">
      <c r="A26" t="s">
        <v>77</v>
      </c>
      <c r="B26" t="s">
        <v>68</v>
      </c>
      <c r="C26" t="s">
        <v>54</v>
      </c>
      <c r="D26" t="s">
        <v>44</v>
      </c>
      <c r="E26" s="2">
        <v>44728</v>
      </c>
      <c r="F26">
        <v>68655</v>
      </c>
      <c r="G26">
        <v>32</v>
      </c>
      <c r="H26" t="s">
        <v>12</v>
      </c>
    </row>
    <row r="27" spans="1:8" x14ac:dyDescent="0.3">
      <c r="A27" t="s">
        <v>78</v>
      </c>
      <c r="C27" t="s">
        <v>54</v>
      </c>
      <c r="D27" t="s">
        <v>79</v>
      </c>
      <c r="E27" s="2">
        <v>45134</v>
      </c>
      <c r="F27">
        <v>81205</v>
      </c>
      <c r="G27">
        <v>59</v>
      </c>
      <c r="H27" t="s">
        <v>51</v>
      </c>
    </row>
    <row r="28" spans="1:8" x14ac:dyDescent="0.3">
      <c r="A28" t="s">
        <v>80</v>
      </c>
      <c r="B28" t="s">
        <v>24</v>
      </c>
      <c r="C28" t="s">
        <v>36</v>
      </c>
      <c r="D28" t="s">
        <v>44</v>
      </c>
      <c r="E28" t="s">
        <v>81</v>
      </c>
      <c r="F28" t="s">
        <v>82</v>
      </c>
      <c r="G28">
        <v>88</v>
      </c>
      <c r="H28" t="s">
        <v>51</v>
      </c>
    </row>
    <row r="29" spans="1:8" x14ac:dyDescent="0.3">
      <c r="A29" t="s">
        <v>83</v>
      </c>
      <c r="B29" t="s">
        <v>28</v>
      </c>
      <c r="C29" t="s">
        <v>41</v>
      </c>
      <c r="D29" t="s">
        <v>84</v>
      </c>
      <c r="E29" s="2">
        <v>44765</v>
      </c>
      <c r="F29" t="s">
        <v>85</v>
      </c>
      <c r="G29">
        <v>90</v>
      </c>
      <c r="H29" t="s">
        <v>45</v>
      </c>
    </row>
    <row r="30" spans="1:8" x14ac:dyDescent="0.3">
      <c r="A30" t="s">
        <v>86</v>
      </c>
      <c r="B30" t="s">
        <v>43</v>
      </c>
      <c r="C30" t="s">
        <v>36</v>
      </c>
      <c r="D30" t="s">
        <v>87</v>
      </c>
      <c r="E30" t="s">
        <v>88</v>
      </c>
      <c r="F30">
        <v>85312</v>
      </c>
      <c r="G30">
        <v>66</v>
      </c>
      <c r="H30" t="s">
        <v>12</v>
      </c>
    </row>
    <row r="31" spans="1:8" x14ac:dyDescent="0.3">
      <c r="A31" t="s">
        <v>89</v>
      </c>
      <c r="B31" t="s">
        <v>24</v>
      </c>
      <c r="C31" t="s">
        <v>41</v>
      </c>
      <c r="D31" t="s">
        <v>44</v>
      </c>
      <c r="E31" s="2">
        <v>42202</v>
      </c>
      <c r="G31">
        <v>68</v>
      </c>
      <c r="H31" t="s">
        <v>12</v>
      </c>
    </row>
    <row r="32" spans="1:8" x14ac:dyDescent="0.3">
      <c r="A32" t="s">
        <v>90</v>
      </c>
      <c r="B32" t="s">
        <v>28</v>
      </c>
      <c r="C32" t="s">
        <v>15</v>
      </c>
      <c r="D32" t="s">
        <v>33</v>
      </c>
      <c r="E32" t="s">
        <v>91</v>
      </c>
      <c r="F32">
        <v>97055</v>
      </c>
      <c r="G32">
        <v>80</v>
      </c>
      <c r="H32" t="s">
        <v>51</v>
      </c>
    </row>
    <row r="33" spans="1:8" x14ac:dyDescent="0.3">
      <c r="A33" t="s">
        <v>92</v>
      </c>
      <c r="B33" t="s">
        <v>43</v>
      </c>
      <c r="C33" t="s">
        <v>32</v>
      </c>
      <c r="D33" t="s">
        <v>11</v>
      </c>
      <c r="E33" s="2">
        <v>45195</v>
      </c>
      <c r="F33">
        <v>66069</v>
      </c>
      <c r="G33">
        <v>72</v>
      </c>
      <c r="H33" t="s">
        <v>51</v>
      </c>
    </row>
    <row r="34" spans="1:8" x14ac:dyDescent="0.3">
      <c r="A34" t="s">
        <v>93</v>
      </c>
      <c r="B34" t="s">
        <v>94</v>
      </c>
      <c r="C34" t="s">
        <v>10</v>
      </c>
      <c r="D34" t="s">
        <v>84</v>
      </c>
      <c r="E34" t="s">
        <v>95</v>
      </c>
      <c r="F34">
        <v>90157</v>
      </c>
      <c r="G34">
        <v>58</v>
      </c>
      <c r="H34" t="s">
        <v>12</v>
      </c>
    </row>
    <row r="35" spans="1:8" x14ac:dyDescent="0.3">
      <c r="A35" t="s">
        <v>96</v>
      </c>
      <c r="B35" t="s">
        <v>53</v>
      </c>
      <c r="C35" t="s">
        <v>25</v>
      </c>
      <c r="D35" t="s">
        <v>97</v>
      </c>
      <c r="E35" s="2">
        <v>44578</v>
      </c>
      <c r="F35">
        <v>59899</v>
      </c>
      <c r="G35">
        <v>78</v>
      </c>
      <c r="H35" t="s">
        <v>51</v>
      </c>
    </row>
    <row r="36" spans="1:8" x14ac:dyDescent="0.3">
      <c r="A36" t="s">
        <v>98</v>
      </c>
      <c r="B36" t="s">
        <v>9</v>
      </c>
      <c r="C36" t="s">
        <v>60</v>
      </c>
      <c r="D36" t="s">
        <v>76</v>
      </c>
      <c r="E36" t="s">
        <v>99</v>
      </c>
      <c r="F36">
        <v>113389</v>
      </c>
      <c r="G36">
        <v>30</v>
      </c>
      <c r="H36" t="s">
        <v>17</v>
      </c>
    </row>
    <row r="37" spans="1:8" x14ac:dyDescent="0.3">
      <c r="A37" t="s">
        <v>100</v>
      </c>
      <c r="C37" t="s">
        <v>10</v>
      </c>
      <c r="D37" t="s">
        <v>20</v>
      </c>
      <c r="E37" t="s">
        <v>101</v>
      </c>
      <c r="F37">
        <v>102691</v>
      </c>
      <c r="G37">
        <v>52</v>
      </c>
      <c r="H37" t="s">
        <v>45</v>
      </c>
    </row>
    <row r="38" spans="1:8" x14ac:dyDescent="0.3">
      <c r="A38" t="s">
        <v>102</v>
      </c>
      <c r="B38" t="s">
        <v>24</v>
      </c>
      <c r="C38" t="s">
        <v>36</v>
      </c>
      <c r="D38" t="s">
        <v>33</v>
      </c>
      <c r="E38" t="s">
        <v>103</v>
      </c>
      <c r="F38">
        <v>111845</v>
      </c>
      <c r="G38">
        <v>98</v>
      </c>
      <c r="H38" t="s">
        <v>12</v>
      </c>
    </row>
    <row r="39" spans="1:8" x14ac:dyDescent="0.3">
      <c r="A39" t="s">
        <v>104</v>
      </c>
      <c r="B39" t="s">
        <v>105</v>
      </c>
      <c r="C39" t="s">
        <v>10</v>
      </c>
      <c r="D39" t="s">
        <v>79</v>
      </c>
      <c r="E39" t="s">
        <v>106</v>
      </c>
      <c r="F39">
        <v>69219</v>
      </c>
      <c r="G39">
        <v>93</v>
      </c>
      <c r="H39" t="s">
        <v>51</v>
      </c>
    </row>
    <row r="40" spans="1:8" x14ac:dyDescent="0.3">
      <c r="A40" t="s">
        <v>107</v>
      </c>
      <c r="B40" t="s">
        <v>43</v>
      </c>
      <c r="C40" t="s">
        <v>29</v>
      </c>
      <c r="D40" t="s">
        <v>26</v>
      </c>
      <c r="E40" s="2">
        <v>43949</v>
      </c>
      <c r="G40">
        <v>80</v>
      </c>
      <c r="H40" t="s">
        <v>108</v>
      </c>
    </row>
    <row r="41" spans="1:8" x14ac:dyDescent="0.3">
      <c r="A41" t="s">
        <v>109</v>
      </c>
      <c r="B41" t="s">
        <v>94</v>
      </c>
      <c r="C41" t="s">
        <v>47</v>
      </c>
      <c r="D41" t="s">
        <v>33</v>
      </c>
      <c r="E41" t="s">
        <v>110</v>
      </c>
      <c r="F41">
        <v>57514</v>
      </c>
      <c r="H41" t="s">
        <v>12</v>
      </c>
    </row>
    <row r="42" spans="1:8" x14ac:dyDescent="0.3">
      <c r="A42" t="s">
        <v>111</v>
      </c>
      <c r="B42" t="s">
        <v>9</v>
      </c>
      <c r="C42" t="s">
        <v>36</v>
      </c>
      <c r="D42" t="s">
        <v>44</v>
      </c>
      <c r="E42" s="2">
        <v>43181</v>
      </c>
      <c r="F42">
        <v>86245</v>
      </c>
      <c r="G42">
        <v>71</v>
      </c>
      <c r="H42" t="s">
        <v>22</v>
      </c>
    </row>
    <row r="43" spans="1:8" x14ac:dyDescent="0.3">
      <c r="A43" t="s">
        <v>112</v>
      </c>
      <c r="B43" t="s">
        <v>113</v>
      </c>
      <c r="C43" t="s">
        <v>15</v>
      </c>
      <c r="D43" t="s">
        <v>44</v>
      </c>
      <c r="E43" s="2">
        <v>43958</v>
      </c>
      <c r="F43">
        <v>52407</v>
      </c>
      <c r="G43">
        <v>55</v>
      </c>
      <c r="H43" t="s">
        <v>12</v>
      </c>
    </row>
    <row r="44" spans="1:8" x14ac:dyDescent="0.3">
      <c r="A44" t="s">
        <v>114</v>
      </c>
      <c r="B44" t="s">
        <v>66</v>
      </c>
      <c r="C44" t="s">
        <v>29</v>
      </c>
      <c r="D44" t="s">
        <v>37</v>
      </c>
      <c r="E44" s="2">
        <v>43549</v>
      </c>
      <c r="F44" t="s">
        <v>115</v>
      </c>
      <c r="G44">
        <v>93</v>
      </c>
      <c r="H44" t="s">
        <v>116</v>
      </c>
    </row>
    <row r="45" spans="1:8" x14ac:dyDescent="0.3">
      <c r="A45" t="s">
        <v>117</v>
      </c>
      <c r="B45" t="s">
        <v>94</v>
      </c>
      <c r="C45" t="s">
        <v>54</v>
      </c>
      <c r="D45" t="s">
        <v>11</v>
      </c>
      <c r="E45" s="2">
        <v>43686</v>
      </c>
      <c r="F45">
        <v>81896</v>
      </c>
      <c r="G45">
        <v>79</v>
      </c>
      <c r="H45" t="s">
        <v>116</v>
      </c>
    </row>
    <row r="46" spans="1:8" x14ac:dyDescent="0.3">
      <c r="A46" t="s">
        <v>118</v>
      </c>
      <c r="B46" t="s">
        <v>71</v>
      </c>
      <c r="C46" t="s">
        <v>69</v>
      </c>
      <c r="D46" t="s">
        <v>44</v>
      </c>
      <c r="E46" t="s">
        <v>119</v>
      </c>
      <c r="F46">
        <v>78402</v>
      </c>
      <c r="G46">
        <v>54</v>
      </c>
      <c r="H46" t="s">
        <v>17</v>
      </c>
    </row>
    <row r="47" spans="1:8" x14ac:dyDescent="0.3">
      <c r="A47" t="s">
        <v>120</v>
      </c>
      <c r="B47" t="s">
        <v>28</v>
      </c>
      <c r="C47" t="s">
        <v>69</v>
      </c>
      <c r="D47" t="s">
        <v>37</v>
      </c>
      <c r="E47" s="2">
        <v>42647</v>
      </c>
      <c r="F47">
        <v>105498</v>
      </c>
      <c r="G47">
        <v>76</v>
      </c>
      <c r="H47" t="s">
        <v>12</v>
      </c>
    </row>
    <row r="48" spans="1:8" x14ac:dyDescent="0.3">
      <c r="A48" t="s">
        <v>121</v>
      </c>
      <c r="B48" t="s">
        <v>105</v>
      </c>
      <c r="C48" t="s">
        <v>32</v>
      </c>
      <c r="D48" t="s">
        <v>16</v>
      </c>
      <c r="E48" t="s">
        <v>122</v>
      </c>
      <c r="F48">
        <v>91749</v>
      </c>
      <c r="G48">
        <v>72</v>
      </c>
      <c r="H48" t="s">
        <v>108</v>
      </c>
    </row>
    <row r="49" spans="1:8" x14ac:dyDescent="0.3">
      <c r="A49" t="s">
        <v>123</v>
      </c>
      <c r="B49" t="s">
        <v>71</v>
      </c>
      <c r="C49" t="s">
        <v>32</v>
      </c>
      <c r="D49" t="s">
        <v>37</v>
      </c>
      <c r="E49" s="2">
        <v>44437</v>
      </c>
      <c r="F49">
        <v>99935</v>
      </c>
      <c r="G49">
        <v>84</v>
      </c>
      <c r="H49" t="s">
        <v>116</v>
      </c>
    </row>
    <row r="50" spans="1:8" x14ac:dyDescent="0.3">
      <c r="A50" t="s">
        <v>124</v>
      </c>
      <c r="B50" t="s">
        <v>24</v>
      </c>
      <c r="C50" t="s">
        <v>64</v>
      </c>
      <c r="D50" t="s">
        <v>20</v>
      </c>
      <c r="E50" s="2">
        <v>42761</v>
      </c>
      <c r="F50">
        <v>83531</v>
      </c>
      <c r="G50">
        <v>30</v>
      </c>
      <c r="H50" t="s">
        <v>108</v>
      </c>
    </row>
    <row r="51" spans="1:8" x14ac:dyDescent="0.3">
      <c r="A51" t="s">
        <v>125</v>
      </c>
      <c r="B51" t="s">
        <v>66</v>
      </c>
      <c r="C51" t="s">
        <v>32</v>
      </c>
      <c r="D51" t="s">
        <v>55</v>
      </c>
      <c r="E51" s="2">
        <v>43981</v>
      </c>
      <c r="F51" t="s">
        <v>126</v>
      </c>
      <c r="H51" t="s">
        <v>17</v>
      </c>
    </row>
    <row r="52" spans="1:8" x14ac:dyDescent="0.3">
      <c r="A52" t="s">
        <v>127</v>
      </c>
      <c r="B52" t="s">
        <v>53</v>
      </c>
      <c r="C52" t="s">
        <v>64</v>
      </c>
      <c r="D52" t="s">
        <v>97</v>
      </c>
      <c r="E52" s="2">
        <v>44612</v>
      </c>
      <c r="F52">
        <v>93290</v>
      </c>
      <c r="G52">
        <v>53</v>
      </c>
      <c r="H52" t="s">
        <v>17</v>
      </c>
    </row>
    <row r="53" spans="1:8" x14ac:dyDescent="0.3">
      <c r="A53" t="s">
        <v>128</v>
      </c>
      <c r="B53" t="s">
        <v>14</v>
      </c>
      <c r="C53" t="s">
        <v>64</v>
      </c>
      <c r="D53" t="s">
        <v>33</v>
      </c>
      <c r="E53" s="2">
        <v>42628</v>
      </c>
      <c r="F53">
        <v>115527</v>
      </c>
      <c r="G53">
        <v>63</v>
      </c>
      <c r="H53" t="s">
        <v>116</v>
      </c>
    </row>
    <row r="54" spans="1:8" x14ac:dyDescent="0.3">
      <c r="A54" t="s">
        <v>129</v>
      </c>
      <c r="B54" t="s">
        <v>28</v>
      </c>
      <c r="C54" t="s">
        <v>41</v>
      </c>
      <c r="D54" t="s">
        <v>76</v>
      </c>
      <c r="E54" t="s">
        <v>130</v>
      </c>
      <c r="F54">
        <v>55920</v>
      </c>
      <c r="G54">
        <v>84</v>
      </c>
      <c r="H54" t="s">
        <v>51</v>
      </c>
    </row>
    <row r="55" spans="1:8" x14ac:dyDescent="0.3">
      <c r="A55" t="s">
        <v>131</v>
      </c>
      <c r="B55" t="s">
        <v>9</v>
      </c>
      <c r="C55" t="s">
        <v>32</v>
      </c>
      <c r="D55" t="s">
        <v>44</v>
      </c>
      <c r="E55" s="2">
        <v>43464</v>
      </c>
      <c r="F55">
        <v>80189</v>
      </c>
      <c r="G55">
        <v>30</v>
      </c>
      <c r="H55" t="s">
        <v>45</v>
      </c>
    </row>
    <row r="56" spans="1:8" x14ac:dyDescent="0.3">
      <c r="A56" t="s">
        <v>132</v>
      </c>
      <c r="B56" t="s">
        <v>9</v>
      </c>
      <c r="C56" t="s">
        <v>133</v>
      </c>
      <c r="D56" t="s">
        <v>97</v>
      </c>
      <c r="E56" s="2">
        <v>44189</v>
      </c>
      <c r="F56">
        <v>118947</v>
      </c>
      <c r="G56">
        <v>96</v>
      </c>
      <c r="H56" t="s">
        <v>12</v>
      </c>
    </row>
    <row r="57" spans="1:8" x14ac:dyDescent="0.3">
      <c r="A57" t="s">
        <v>134</v>
      </c>
      <c r="B57" t="s">
        <v>53</v>
      </c>
      <c r="C57" t="s">
        <v>135</v>
      </c>
      <c r="D57" t="s">
        <v>11</v>
      </c>
      <c r="E57" s="2">
        <v>45112</v>
      </c>
      <c r="G57">
        <v>54</v>
      </c>
      <c r="H57" t="s">
        <v>51</v>
      </c>
    </row>
    <row r="58" spans="1:8" x14ac:dyDescent="0.3">
      <c r="A58" t="s">
        <v>136</v>
      </c>
      <c r="B58" t="s">
        <v>28</v>
      </c>
      <c r="C58" t="s">
        <v>133</v>
      </c>
      <c r="D58" t="s">
        <v>37</v>
      </c>
      <c r="E58" s="2">
        <v>44148</v>
      </c>
      <c r="G58">
        <v>75</v>
      </c>
      <c r="H58" t="s">
        <v>51</v>
      </c>
    </row>
    <row r="59" spans="1:8" x14ac:dyDescent="0.3">
      <c r="A59" t="s">
        <v>137</v>
      </c>
      <c r="B59" t="s">
        <v>113</v>
      </c>
      <c r="C59" t="s">
        <v>25</v>
      </c>
      <c r="D59" t="s">
        <v>138</v>
      </c>
      <c r="E59" t="s">
        <v>139</v>
      </c>
      <c r="F59">
        <v>91655</v>
      </c>
      <c r="G59">
        <v>95</v>
      </c>
      <c r="H59" t="s">
        <v>45</v>
      </c>
    </row>
    <row r="60" spans="1:8" x14ac:dyDescent="0.3">
      <c r="A60" t="s">
        <v>140</v>
      </c>
      <c r="B60" t="s">
        <v>9</v>
      </c>
      <c r="C60" t="s">
        <v>10</v>
      </c>
      <c r="D60" t="s">
        <v>11</v>
      </c>
      <c r="E60" s="2">
        <v>45255</v>
      </c>
      <c r="F60">
        <v>49435</v>
      </c>
      <c r="H60" t="s">
        <v>108</v>
      </c>
    </row>
    <row r="61" spans="1:8" x14ac:dyDescent="0.3">
      <c r="A61" t="s">
        <v>141</v>
      </c>
      <c r="B61" t="s">
        <v>9</v>
      </c>
      <c r="C61" t="s">
        <v>36</v>
      </c>
      <c r="D61" t="s">
        <v>48</v>
      </c>
      <c r="E61" s="2">
        <v>45217</v>
      </c>
      <c r="F61">
        <v>110381</v>
      </c>
      <c r="G61">
        <v>93</v>
      </c>
      <c r="H61" t="s">
        <v>45</v>
      </c>
    </row>
    <row r="62" spans="1:8" x14ac:dyDescent="0.3">
      <c r="A62" t="s">
        <v>142</v>
      </c>
      <c r="B62" t="s">
        <v>43</v>
      </c>
      <c r="C62" t="s">
        <v>135</v>
      </c>
      <c r="D62" t="s">
        <v>97</v>
      </c>
      <c r="E62" s="2">
        <v>44079</v>
      </c>
      <c r="F62">
        <v>114748</v>
      </c>
      <c r="G62">
        <v>33</v>
      </c>
      <c r="H62" t="s">
        <v>12</v>
      </c>
    </row>
    <row r="63" spans="1:8" x14ac:dyDescent="0.3">
      <c r="A63" t="s">
        <v>143</v>
      </c>
      <c r="B63" t="s">
        <v>59</v>
      </c>
      <c r="C63" t="s">
        <v>32</v>
      </c>
      <c r="D63" t="s">
        <v>33</v>
      </c>
      <c r="E63" s="2">
        <v>42800</v>
      </c>
      <c r="F63">
        <v>63302</v>
      </c>
      <c r="G63">
        <v>91</v>
      </c>
      <c r="H63" t="s">
        <v>12</v>
      </c>
    </row>
    <row r="64" spans="1:8" x14ac:dyDescent="0.3">
      <c r="A64" t="s">
        <v>144</v>
      </c>
      <c r="B64" t="s">
        <v>59</v>
      </c>
      <c r="C64" t="s">
        <v>47</v>
      </c>
      <c r="D64" t="s">
        <v>84</v>
      </c>
      <c r="E64" s="2">
        <v>42122</v>
      </c>
      <c r="F64" t="s">
        <v>145</v>
      </c>
      <c r="G64">
        <v>64</v>
      </c>
      <c r="H64" t="s">
        <v>12</v>
      </c>
    </row>
    <row r="65" spans="1:8" x14ac:dyDescent="0.3">
      <c r="A65" t="s">
        <v>146</v>
      </c>
      <c r="B65" t="s">
        <v>53</v>
      </c>
      <c r="C65" t="s">
        <v>64</v>
      </c>
      <c r="D65" t="s">
        <v>76</v>
      </c>
      <c r="E65" s="2">
        <v>42838</v>
      </c>
      <c r="F65">
        <v>103891</v>
      </c>
      <c r="G65">
        <v>80</v>
      </c>
      <c r="H65" t="s">
        <v>12</v>
      </c>
    </row>
    <row r="66" spans="1:8" x14ac:dyDescent="0.3">
      <c r="A66" t="s">
        <v>147</v>
      </c>
      <c r="B66" t="s">
        <v>28</v>
      </c>
      <c r="C66" t="s">
        <v>64</v>
      </c>
      <c r="D66" t="s">
        <v>33</v>
      </c>
      <c r="E66" s="2">
        <v>44827</v>
      </c>
      <c r="G66">
        <v>46</v>
      </c>
      <c r="H66" t="s">
        <v>22</v>
      </c>
    </row>
    <row r="67" spans="1:8" x14ac:dyDescent="0.3">
      <c r="A67" t="s">
        <v>148</v>
      </c>
      <c r="B67" t="s">
        <v>28</v>
      </c>
      <c r="C67" t="s">
        <v>60</v>
      </c>
      <c r="D67" t="s">
        <v>61</v>
      </c>
      <c r="E67" t="s">
        <v>149</v>
      </c>
      <c r="F67" t="s">
        <v>150</v>
      </c>
      <c r="G67">
        <v>99</v>
      </c>
      <c r="H67" t="s">
        <v>12</v>
      </c>
    </row>
    <row r="68" spans="1:8" x14ac:dyDescent="0.3">
      <c r="A68" t="s">
        <v>151</v>
      </c>
      <c r="B68" t="s">
        <v>43</v>
      </c>
      <c r="C68" t="s">
        <v>47</v>
      </c>
      <c r="D68" t="s">
        <v>79</v>
      </c>
      <c r="E68" t="s">
        <v>152</v>
      </c>
      <c r="F68" t="s">
        <v>153</v>
      </c>
      <c r="H68" t="s">
        <v>51</v>
      </c>
    </row>
    <row r="69" spans="1:8" x14ac:dyDescent="0.3">
      <c r="A69" t="s">
        <v>154</v>
      </c>
      <c r="B69" t="s">
        <v>14</v>
      </c>
      <c r="C69" t="s">
        <v>19</v>
      </c>
      <c r="D69" t="s">
        <v>97</v>
      </c>
      <c r="E69" t="s">
        <v>155</v>
      </c>
      <c r="F69">
        <v>51567</v>
      </c>
      <c r="G69">
        <v>87</v>
      </c>
      <c r="H69" t="s">
        <v>116</v>
      </c>
    </row>
    <row r="70" spans="1:8" x14ac:dyDescent="0.3">
      <c r="A70" t="s">
        <v>156</v>
      </c>
      <c r="B70" t="s">
        <v>105</v>
      </c>
      <c r="C70" t="s">
        <v>54</v>
      </c>
      <c r="D70" t="s">
        <v>157</v>
      </c>
      <c r="E70" s="2">
        <v>44402</v>
      </c>
      <c r="G70">
        <v>36</v>
      </c>
      <c r="H70" t="s">
        <v>45</v>
      </c>
    </row>
    <row r="71" spans="1:8" x14ac:dyDescent="0.3">
      <c r="A71" t="s">
        <v>158</v>
      </c>
      <c r="B71" t="s">
        <v>59</v>
      </c>
      <c r="C71" t="s">
        <v>47</v>
      </c>
      <c r="D71" t="s">
        <v>97</v>
      </c>
      <c r="E71" s="2">
        <v>43008</v>
      </c>
      <c r="F71">
        <v>55270</v>
      </c>
      <c r="G71">
        <v>87</v>
      </c>
      <c r="H71" t="s">
        <v>51</v>
      </c>
    </row>
    <row r="72" spans="1:8" x14ac:dyDescent="0.3">
      <c r="A72" t="s">
        <v>159</v>
      </c>
      <c r="B72" t="s">
        <v>160</v>
      </c>
      <c r="C72" t="s">
        <v>133</v>
      </c>
      <c r="D72" t="s">
        <v>44</v>
      </c>
      <c r="E72" s="2">
        <v>42192</v>
      </c>
      <c r="F72">
        <v>65235</v>
      </c>
      <c r="G72">
        <v>97</v>
      </c>
      <c r="H72" t="s">
        <v>17</v>
      </c>
    </row>
    <row r="73" spans="1:8" x14ac:dyDescent="0.3">
      <c r="A73" t="s">
        <v>161</v>
      </c>
      <c r="B73" t="s">
        <v>24</v>
      </c>
      <c r="C73" t="s">
        <v>19</v>
      </c>
      <c r="D73" t="s">
        <v>44</v>
      </c>
      <c r="E73" s="2">
        <v>43283</v>
      </c>
      <c r="G73">
        <v>72</v>
      </c>
      <c r="H73" t="s">
        <v>22</v>
      </c>
    </row>
    <row r="74" spans="1:8" x14ac:dyDescent="0.3">
      <c r="A74" t="s">
        <v>162</v>
      </c>
      <c r="B74" t="s">
        <v>66</v>
      </c>
      <c r="C74" t="s">
        <v>19</v>
      </c>
      <c r="D74" t="s">
        <v>48</v>
      </c>
      <c r="E74" s="2">
        <v>44819</v>
      </c>
      <c r="G74">
        <v>65</v>
      </c>
      <c r="H74" t="s">
        <v>22</v>
      </c>
    </row>
    <row r="75" spans="1:8" x14ac:dyDescent="0.3">
      <c r="A75" t="s">
        <v>163</v>
      </c>
      <c r="B75" t="s">
        <v>53</v>
      </c>
      <c r="C75" t="s">
        <v>19</v>
      </c>
      <c r="D75" t="s">
        <v>79</v>
      </c>
      <c r="E75" s="2">
        <v>42249</v>
      </c>
      <c r="G75">
        <v>67</v>
      </c>
      <c r="H75" t="s">
        <v>51</v>
      </c>
    </row>
    <row r="76" spans="1:8" x14ac:dyDescent="0.3">
      <c r="A76" t="s">
        <v>164</v>
      </c>
      <c r="B76" t="s">
        <v>113</v>
      </c>
      <c r="C76" t="s">
        <v>36</v>
      </c>
      <c r="D76" t="s">
        <v>165</v>
      </c>
      <c r="E76" t="s">
        <v>166</v>
      </c>
      <c r="F76">
        <v>48823</v>
      </c>
      <c r="G76">
        <v>34</v>
      </c>
      <c r="H76" t="s">
        <v>17</v>
      </c>
    </row>
    <row r="77" spans="1:8" x14ac:dyDescent="0.3">
      <c r="A77" t="s">
        <v>167</v>
      </c>
      <c r="B77" t="s">
        <v>53</v>
      </c>
      <c r="C77" t="s">
        <v>19</v>
      </c>
      <c r="D77" t="s">
        <v>76</v>
      </c>
      <c r="E77" s="2">
        <v>43575</v>
      </c>
      <c r="F77">
        <v>45196</v>
      </c>
      <c r="G77">
        <v>78</v>
      </c>
      <c r="H77" t="s">
        <v>22</v>
      </c>
    </row>
    <row r="78" spans="1:8" x14ac:dyDescent="0.3">
      <c r="A78" t="s">
        <v>168</v>
      </c>
      <c r="B78" t="s">
        <v>53</v>
      </c>
      <c r="C78" t="s">
        <v>41</v>
      </c>
      <c r="D78" t="s">
        <v>11</v>
      </c>
      <c r="E78" t="s">
        <v>169</v>
      </c>
      <c r="F78" t="s">
        <v>170</v>
      </c>
      <c r="G78">
        <v>61</v>
      </c>
      <c r="H78" t="s">
        <v>51</v>
      </c>
    </row>
    <row r="79" spans="1:8" x14ac:dyDescent="0.3">
      <c r="A79" t="s">
        <v>171</v>
      </c>
      <c r="B79" t="s">
        <v>9</v>
      </c>
      <c r="C79" t="s">
        <v>47</v>
      </c>
      <c r="D79" t="s">
        <v>44</v>
      </c>
      <c r="E79" t="s">
        <v>172</v>
      </c>
      <c r="F79">
        <v>70359</v>
      </c>
      <c r="G79">
        <v>74</v>
      </c>
      <c r="H79" t="s">
        <v>30</v>
      </c>
    </row>
    <row r="80" spans="1:8" x14ac:dyDescent="0.3">
      <c r="A80" t="s">
        <v>173</v>
      </c>
      <c r="B80" t="s">
        <v>94</v>
      </c>
      <c r="C80" t="s">
        <v>47</v>
      </c>
      <c r="D80" t="s">
        <v>61</v>
      </c>
      <c r="E80" s="2">
        <v>43599</v>
      </c>
      <c r="G80">
        <v>94</v>
      </c>
      <c r="H80" t="s">
        <v>17</v>
      </c>
    </row>
    <row r="81" spans="1:8" x14ac:dyDescent="0.3">
      <c r="A81" t="s">
        <v>174</v>
      </c>
      <c r="B81" t="s">
        <v>39</v>
      </c>
      <c r="C81" t="s">
        <v>133</v>
      </c>
      <c r="D81" t="s">
        <v>37</v>
      </c>
      <c r="E81" s="2">
        <v>42330</v>
      </c>
      <c r="F81">
        <v>86480</v>
      </c>
      <c r="H81" t="s">
        <v>17</v>
      </c>
    </row>
    <row r="82" spans="1:8" x14ac:dyDescent="0.3">
      <c r="A82" t="s">
        <v>175</v>
      </c>
      <c r="B82" t="s">
        <v>14</v>
      </c>
      <c r="C82" t="s">
        <v>29</v>
      </c>
      <c r="D82" t="s">
        <v>138</v>
      </c>
      <c r="E82" t="s">
        <v>176</v>
      </c>
      <c r="F82" t="s">
        <v>177</v>
      </c>
      <c r="G82">
        <v>75</v>
      </c>
      <c r="H82" t="s">
        <v>17</v>
      </c>
    </row>
    <row r="83" spans="1:8" x14ac:dyDescent="0.3">
      <c r="A83" t="s">
        <v>178</v>
      </c>
      <c r="B83" t="s">
        <v>105</v>
      </c>
      <c r="C83" t="s">
        <v>36</v>
      </c>
      <c r="D83" t="s">
        <v>11</v>
      </c>
      <c r="E83" s="2">
        <v>45171</v>
      </c>
      <c r="F83">
        <v>83724</v>
      </c>
      <c r="G83">
        <v>81</v>
      </c>
      <c r="H83" t="s">
        <v>116</v>
      </c>
    </row>
    <row r="84" spans="1:8" x14ac:dyDescent="0.3">
      <c r="A84" t="s">
        <v>179</v>
      </c>
      <c r="B84" t="s">
        <v>28</v>
      </c>
      <c r="C84" t="s">
        <v>54</v>
      </c>
      <c r="D84" t="s">
        <v>76</v>
      </c>
      <c r="E84" s="2">
        <v>44759</v>
      </c>
      <c r="F84">
        <v>98299</v>
      </c>
      <c r="G84">
        <v>61</v>
      </c>
      <c r="H84" t="s">
        <v>51</v>
      </c>
    </row>
    <row r="85" spans="1:8" x14ac:dyDescent="0.3">
      <c r="A85" t="s">
        <v>180</v>
      </c>
      <c r="B85" t="s">
        <v>113</v>
      </c>
      <c r="C85" t="s">
        <v>54</v>
      </c>
      <c r="D85" t="s">
        <v>26</v>
      </c>
      <c r="E85" t="s">
        <v>181</v>
      </c>
      <c r="G85">
        <v>68</v>
      </c>
      <c r="H85" t="s">
        <v>51</v>
      </c>
    </row>
    <row r="86" spans="1:8" x14ac:dyDescent="0.3">
      <c r="A86" t="s">
        <v>182</v>
      </c>
      <c r="B86" t="s">
        <v>24</v>
      </c>
      <c r="C86" t="s">
        <v>32</v>
      </c>
      <c r="D86" t="s">
        <v>84</v>
      </c>
      <c r="E86" t="s">
        <v>183</v>
      </c>
      <c r="F86">
        <v>52287</v>
      </c>
      <c r="G86">
        <v>70</v>
      </c>
      <c r="H86" t="s">
        <v>12</v>
      </c>
    </row>
    <row r="87" spans="1:8" x14ac:dyDescent="0.3">
      <c r="A87" t="s">
        <v>184</v>
      </c>
      <c r="B87" t="s">
        <v>14</v>
      </c>
      <c r="C87" t="s">
        <v>19</v>
      </c>
      <c r="D87" t="s">
        <v>11</v>
      </c>
      <c r="E87" s="2">
        <v>44073</v>
      </c>
      <c r="F87">
        <v>82633</v>
      </c>
      <c r="G87">
        <v>98</v>
      </c>
      <c r="H87" t="s">
        <v>17</v>
      </c>
    </row>
    <row r="88" spans="1:8" x14ac:dyDescent="0.3">
      <c r="A88" t="s">
        <v>185</v>
      </c>
      <c r="B88" t="s">
        <v>105</v>
      </c>
      <c r="C88" t="s">
        <v>135</v>
      </c>
      <c r="D88" t="s">
        <v>37</v>
      </c>
      <c r="E88" s="2">
        <v>44422</v>
      </c>
      <c r="F88">
        <v>46508</v>
      </c>
      <c r="G88">
        <v>34</v>
      </c>
      <c r="H88" t="s">
        <v>45</v>
      </c>
    </row>
    <row r="89" spans="1:8" x14ac:dyDescent="0.3">
      <c r="A89" t="s">
        <v>186</v>
      </c>
      <c r="B89" t="s">
        <v>9</v>
      </c>
      <c r="C89" t="s">
        <v>19</v>
      </c>
      <c r="D89" t="s">
        <v>138</v>
      </c>
      <c r="E89" t="s">
        <v>187</v>
      </c>
      <c r="F89">
        <v>86232</v>
      </c>
      <c r="G89">
        <v>93</v>
      </c>
      <c r="H89" t="s">
        <v>45</v>
      </c>
    </row>
    <row r="90" spans="1:8" x14ac:dyDescent="0.3">
      <c r="A90" t="s">
        <v>188</v>
      </c>
      <c r="B90" t="s">
        <v>53</v>
      </c>
      <c r="C90" t="s">
        <v>64</v>
      </c>
      <c r="D90" t="s">
        <v>84</v>
      </c>
      <c r="E90" t="s">
        <v>189</v>
      </c>
      <c r="F90" t="s">
        <v>190</v>
      </c>
      <c r="G90">
        <v>48</v>
      </c>
      <c r="H90" t="s">
        <v>45</v>
      </c>
    </row>
    <row r="91" spans="1:8" x14ac:dyDescent="0.3">
      <c r="A91" t="s">
        <v>191</v>
      </c>
      <c r="B91" t="s">
        <v>160</v>
      </c>
      <c r="C91" t="s">
        <v>19</v>
      </c>
      <c r="D91" t="s">
        <v>37</v>
      </c>
      <c r="E91" s="2">
        <v>43436</v>
      </c>
      <c r="F91">
        <v>68683</v>
      </c>
      <c r="G91">
        <v>90</v>
      </c>
      <c r="H91" t="s">
        <v>51</v>
      </c>
    </row>
    <row r="92" spans="1:8" x14ac:dyDescent="0.3">
      <c r="A92" t="s">
        <v>192</v>
      </c>
      <c r="B92" t="s">
        <v>28</v>
      </c>
      <c r="C92" t="s">
        <v>60</v>
      </c>
      <c r="D92" t="s">
        <v>26</v>
      </c>
      <c r="E92" s="2">
        <v>43639</v>
      </c>
      <c r="F92">
        <v>83932</v>
      </c>
      <c r="G92">
        <v>57</v>
      </c>
      <c r="H92" t="s">
        <v>22</v>
      </c>
    </row>
    <row r="93" spans="1:8" x14ac:dyDescent="0.3">
      <c r="A93" t="s">
        <v>193</v>
      </c>
      <c r="B93" t="s">
        <v>39</v>
      </c>
      <c r="C93" t="s">
        <v>135</v>
      </c>
      <c r="D93" t="s">
        <v>97</v>
      </c>
      <c r="E93" s="2">
        <v>42304</v>
      </c>
      <c r="F93">
        <v>56073</v>
      </c>
      <c r="G93">
        <v>79</v>
      </c>
      <c r="H93" t="s">
        <v>45</v>
      </c>
    </row>
    <row r="94" spans="1:8" x14ac:dyDescent="0.3">
      <c r="A94" t="s">
        <v>194</v>
      </c>
      <c r="B94" t="s">
        <v>105</v>
      </c>
      <c r="C94" t="s">
        <v>32</v>
      </c>
      <c r="D94" t="s">
        <v>20</v>
      </c>
      <c r="E94" s="2">
        <v>43270</v>
      </c>
      <c r="F94" t="s">
        <v>195</v>
      </c>
      <c r="G94">
        <v>66</v>
      </c>
      <c r="H94" t="s">
        <v>51</v>
      </c>
    </row>
    <row r="95" spans="1:8" x14ac:dyDescent="0.3">
      <c r="A95" t="s">
        <v>196</v>
      </c>
      <c r="B95" t="s">
        <v>28</v>
      </c>
      <c r="C95" t="s">
        <v>47</v>
      </c>
      <c r="D95" t="s">
        <v>165</v>
      </c>
      <c r="E95" s="2">
        <v>43112</v>
      </c>
      <c r="F95">
        <v>67414</v>
      </c>
      <c r="G95">
        <v>84</v>
      </c>
      <c r="H95" t="s">
        <v>30</v>
      </c>
    </row>
    <row r="96" spans="1:8" x14ac:dyDescent="0.3">
      <c r="A96" t="s">
        <v>197</v>
      </c>
      <c r="B96" t="s">
        <v>160</v>
      </c>
      <c r="C96" t="s">
        <v>19</v>
      </c>
      <c r="D96" t="s">
        <v>44</v>
      </c>
      <c r="E96" s="2">
        <v>42008</v>
      </c>
      <c r="F96" t="s">
        <v>198</v>
      </c>
      <c r="G96">
        <v>61</v>
      </c>
      <c r="H96" t="s">
        <v>51</v>
      </c>
    </row>
    <row r="97" spans="1:8" x14ac:dyDescent="0.3">
      <c r="A97" t="s">
        <v>199</v>
      </c>
      <c r="C97" t="s">
        <v>29</v>
      </c>
      <c r="D97" t="s">
        <v>44</v>
      </c>
      <c r="E97" s="2">
        <v>43439</v>
      </c>
      <c r="F97">
        <v>80140</v>
      </c>
      <c r="G97">
        <v>58</v>
      </c>
      <c r="H97" t="s">
        <v>45</v>
      </c>
    </row>
    <row r="98" spans="1:8" x14ac:dyDescent="0.3">
      <c r="A98" t="s">
        <v>200</v>
      </c>
      <c r="B98" t="s">
        <v>24</v>
      </c>
      <c r="C98" t="s">
        <v>32</v>
      </c>
      <c r="D98" t="s">
        <v>11</v>
      </c>
      <c r="E98" s="2">
        <v>44482</v>
      </c>
      <c r="F98">
        <v>73087</v>
      </c>
      <c r="G98">
        <v>69</v>
      </c>
      <c r="H98" t="s">
        <v>51</v>
      </c>
    </row>
    <row r="99" spans="1:8" x14ac:dyDescent="0.3">
      <c r="A99" t="s">
        <v>201</v>
      </c>
      <c r="B99" t="s">
        <v>53</v>
      </c>
      <c r="C99" t="s">
        <v>32</v>
      </c>
      <c r="D99" t="s">
        <v>79</v>
      </c>
      <c r="E99" s="2">
        <v>44081</v>
      </c>
      <c r="F99">
        <v>95292</v>
      </c>
      <c r="G99">
        <v>34</v>
      </c>
      <c r="H99" t="s">
        <v>12</v>
      </c>
    </row>
    <row r="100" spans="1:8" x14ac:dyDescent="0.3">
      <c r="A100" t="s">
        <v>202</v>
      </c>
      <c r="B100" t="s">
        <v>24</v>
      </c>
      <c r="C100" t="s">
        <v>60</v>
      </c>
      <c r="D100" t="s">
        <v>20</v>
      </c>
      <c r="E100" t="s">
        <v>203</v>
      </c>
      <c r="G100">
        <v>33</v>
      </c>
      <c r="H100" t="s">
        <v>12</v>
      </c>
    </row>
    <row r="101" spans="1:8" x14ac:dyDescent="0.3">
      <c r="A101" t="s">
        <v>204</v>
      </c>
      <c r="B101" t="s">
        <v>53</v>
      </c>
      <c r="C101" t="s">
        <v>69</v>
      </c>
      <c r="D101" t="s">
        <v>16</v>
      </c>
      <c r="E101" t="s">
        <v>205</v>
      </c>
      <c r="F101">
        <v>101750</v>
      </c>
      <c r="G101">
        <v>84</v>
      </c>
      <c r="H101" t="s">
        <v>108</v>
      </c>
    </row>
    <row r="102" spans="1:8" x14ac:dyDescent="0.3">
      <c r="A102" t="s">
        <v>206</v>
      </c>
      <c r="B102" t="s">
        <v>105</v>
      </c>
      <c r="C102" t="s">
        <v>19</v>
      </c>
      <c r="D102" t="s">
        <v>55</v>
      </c>
      <c r="E102" t="s">
        <v>207</v>
      </c>
      <c r="F102">
        <v>82992</v>
      </c>
      <c r="G102">
        <v>79</v>
      </c>
      <c r="H102" t="s">
        <v>51</v>
      </c>
    </row>
    <row r="103" spans="1:8" x14ac:dyDescent="0.3">
      <c r="A103" t="s">
        <v>208</v>
      </c>
      <c r="B103" t="s">
        <v>160</v>
      </c>
      <c r="C103" t="s">
        <v>64</v>
      </c>
      <c r="D103" t="s">
        <v>11</v>
      </c>
      <c r="E103" s="2">
        <v>45055</v>
      </c>
      <c r="F103" t="s">
        <v>209</v>
      </c>
      <c r="G103">
        <v>51</v>
      </c>
      <c r="H103" t="s">
        <v>12</v>
      </c>
    </row>
    <row r="104" spans="1:8" x14ac:dyDescent="0.3">
      <c r="A104" t="s">
        <v>210</v>
      </c>
      <c r="B104" t="s">
        <v>24</v>
      </c>
      <c r="C104" t="s">
        <v>29</v>
      </c>
      <c r="D104" t="s">
        <v>37</v>
      </c>
      <c r="E104" s="2">
        <v>43122</v>
      </c>
      <c r="F104">
        <v>89060</v>
      </c>
      <c r="G104">
        <v>58</v>
      </c>
      <c r="H104" t="s">
        <v>12</v>
      </c>
    </row>
    <row r="105" spans="1:8" x14ac:dyDescent="0.3">
      <c r="A105" t="s">
        <v>211</v>
      </c>
      <c r="B105" t="s">
        <v>66</v>
      </c>
      <c r="C105" t="s">
        <v>19</v>
      </c>
      <c r="D105" t="s">
        <v>11</v>
      </c>
      <c r="E105" s="2">
        <v>43879</v>
      </c>
      <c r="F105">
        <v>53786</v>
      </c>
      <c r="G105">
        <v>98</v>
      </c>
      <c r="H105" t="s">
        <v>45</v>
      </c>
    </row>
    <row r="106" spans="1:8" x14ac:dyDescent="0.3">
      <c r="A106" t="s">
        <v>212</v>
      </c>
      <c r="B106" t="s">
        <v>9</v>
      </c>
      <c r="C106" t="s">
        <v>32</v>
      </c>
      <c r="D106" t="s">
        <v>33</v>
      </c>
      <c r="E106" t="s">
        <v>213</v>
      </c>
      <c r="F106">
        <v>81167</v>
      </c>
      <c r="H106" t="s">
        <v>45</v>
      </c>
    </row>
    <row r="107" spans="1:8" x14ac:dyDescent="0.3">
      <c r="A107" t="s">
        <v>214</v>
      </c>
      <c r="B107" t="s">
        <v>160</v>
      </c>
      <c r="C107" t="s">
        <v>54</v>
      </c>
      <c r="D107" t="s">
        <v>16</v>
      </c>
      <c r="E107" s="2">
        <v>44349</v>
      </c>
      <c r="F107">
        <v>66688</v>
      </c>
      <c r="G107">
        <v>40</v>
      </c>
      <c r="H107" t="s">
        <v>108</v>
      </c>
    </row>
    <row r="108" spans="1:8" x14ac:dyDescent="0.3">
      <c r="A108" t="s">
        <v>215</v>
      </c>
      <c r="B108" t="s">
        <v>66</v>
      </c>
      <c r="C108" t="s">
        <v>60</v>
      </c>
      <c r="D108" t="s">
        <v>11</v>
      </c>
      <c r="E108" s="2">
        <v>44394</v>
      </c>
      <c r="F108">
        <v>91672</v>
      </c>
      <c r="G108">
        <v>88</v>
      </c>
      <c r="H108" t="s">
        <v>17</v>
      </c>
    </row>
    <row r="109" spans="1:8" x14ac:dyDescent="0.3">
      <c r="A109" t="s">
        <v>216</v>
      </c>
      <c r="B109" t="s">
        <v>39</v>
      </c>
      <c r="C109" t="s">
        <v>19</v>
      </c>
      <c r="D109" t="s">
        <v>157</v>
      </c>
      <c r="E109" t="s">
        <v>217</v>
      </c>
      <c r="F109" t="s">
        <v>218</v>
      </c>
      <c r="G109">
        <v>77</v>
      </c>
      <c r="H109" t="s">
        <v>12</v>
      </c>
    </row>
    <row r="110" spans="1:8" x14ac:dyDescent="0.3">
      <c r="A110" t="s">
        <v>219</v>
      </c>
      <c r="B110" t="s">
        <v>94</v>
      </c>
      <c r="C110" t="s">
        <v>47</v>
      </c>
      <c r="D110" t="s">
        <v>79</v>
      </c>
      <c r="E110" s="2">
        <v>43513</v>
      </c>
      <c r="F110" t="s">
        <v>220</v>
      </c>
      <c r="G110">
        <v>91</v>
      </c>
      <c r="H110" t="s">
        <v>12</v>
      </c>
    </row>
    <row r="111" spans="1:8" x14ac:dyDescent="0.3">
      <c r="A111" t="s">
        <v>221</v>
      </c>
      <c r="B111" t="s">
        <v>39</v>
      </c>
      <c r="C111" t="s">
        <v>29</v>
      </c>
      <c r="D111" t="s">
        <v>44</v>
      </c>
      <c r="E111" s="2">
        <v>42625</v>
      </c>
      <c r="F111">
        <v>114681</v>
      </c>
      <c r="G111">
        <v>36</v>
      </c>
      <c r="H111" t="s">
        <v>17</v>
      </c>
    </row>
    <row r="112" spans="1:8" x14ac:dyDescent="0.3">
      <c r="A112" t="s">
        <v>222</v>
      </c>
      <c r="B112" t="s">
        <v>28</v>
      </c>
      <c r="C112" t="s">
        <v>60</v>
      </c>
      <c r="D112" t="s">
        <v>37</v>
      </c>
      <c r="E112" t="s">
        <v>223</v>
      </c>
      <c r="F112" t="s">
        <v>224</v>
      </c>
      <c r="G112">
        <v>72</v>
      </c>
      <c r="H112" t="s">
        <v>45</v>
      </c>
    </row>
    <row r="113" spans="1:8" x14ac:dyDescent="0.3">
      <c r="A113" t="s">
        <v>225</v>
      </c>
      <c r="B113" t="s">
        <v>71</v>
      </c>
      <c r="C113" t="s">
        <v>10</v>
      </c>
      <c r="D113" t="s">
        <v>16</v>
      </c>
      <c r="E113" s="2">
        <v>43996</v>
      </c>
      <c r="F113" t="s">
        <v>226</v>
      </c>
      <c r="G113">
        <v>87</v>
      </c>
      <c r="H113" t="s">
        <v>12</v>
      </c>
    </row>
    <row r="114" spans="1:8" x14ac:dyDescent="0.3">
      <c r="A114" t="s">
        <v>227</v>
      </c>
      <c r="B114" t="s">
        <v>59</v>
      </c>
      <c r="C114" t="s">
        <v>25</v>
      </c>
      <c r="D114" t="s">
        <v>20</v>
      </c>
      <c r="E114" t="s">
        <v>228</v>
      </c>
      <c r="F114">
        <v>118008</v>
      </c>
      <c r="G114">
        <v>71</v>
      </c>
      <c r="H114" t="s">
        <v>12</v>
      </c>
    </row>
    <row r="115" spans="1:8" x14ac:dyDescent="0.3">
      <c r="A115" t="s">
        <v>229</v>
      </c>
      <c r="B115" t="s">
        <v>28</v>
      </c>
      <c r="C115" t="s">
        <v>47</v>
      </c>
      <c r="D115" t="s">
        <v>11</v>
      </c>
      <c r="E115" t="s">
        <v>230</v>
      </c>
      <c r="F115">
        <v>74370</v>
      </c>
      <c r="G115">
        <v>82</v>
      </c>
      <c r="H115" t="s">
        <v>51</v>
      </c>
    </row>
    <row r="116" spans="1:8" x14ac:dyDescent="0.3">
      <c r="A116" t="s">
        <v>231</v>
      </c>
      <c r="B116" t="s">
        <v>113</v>
      </c>
      <c r="C116" t="s">
        <v>41</v>
      </c>
      <c r="D116" t="s">
        <v>20</v>
      </c>
      <c r="E116" s="2">
        <v>44674</v>
      </c>
      <c r="F116">
        <v>77819</v>
      </c>
      <c r="G116">
        <v>79</v>
      </c>
      <c r="H116" t="s">
        <v>17</v>
      </c>
    </row>
    <row r="117" spans="1:8" x14ac:dyDescent="0.3">
      <c r="A117" t="s">
        <v>232</v>
      </c>
      <c r="B117" t="s">
        <v>53</v>
      </c>
      <c r="C117" t="s">
        <v>47</v>
      </c>
      <c r="D117" t="s">
        <v>61</v>
      </c>
      <c r="E117" t="s">
        <v>233</v>
      </c>
      <c r="F117">
        <v>48748</v>
      </c>
      <c r="G117">
        <v>83</v>
      </c>
      <c r="H117" t="s">
        <v>51</v>
      </c>
    </row>
    <row r="118" spans="1:8" x14ac:dyDescent="0.3">
      <c r="A118" t="s">
        <v>234</v>
      </c>
      <c r="B118" t="s">
        <v>66</v>
      </c>
      <c r="C118" t="s">
        <v>41</v>
      </c>
      <c r="D118" t="s">
        <v>33</v>
      </c>
      <c r="E118" s="2">
        <v>43971</v>
      </c>
      <c r="F118">
        <v>101997</v>
      </c>
      <c r="G118">
        <v>38</v>
      </c>
      <c r="H118" t="s">
        <v>116</v>
      </c>
    </row>
    <row r="119" spans="1:8" x14ac:dyDescent="0.3">
      <c r="A119" t="s">
        <v>235</v>
      </c>
      <c r="B119" t="s">
        <v>94</v>
      </c>
      <c r="C119" t="s">
        <v>41</v>
      </c>
      <c r="D119" t="s">
        <v>97</v>
      </c>
      <c r="E119" t="s">
        <v>236</v>
      </c>
      <c r="F119">
        <v>115260</v>
      </c>
      <c r="G119">
        <v>77</v>
      </c>
      <c r="H119" t="s">
        <v>51</v>
      </c>
    </row>
    <row r="120" spans="1:8" x14ac:dyDescent="0.3">
      <c r="A120" t="s">
        <v>237</v>
      </c>
      <c r="B120" t="s">
        <v>94</v>
      </c>
      <c r="C120" t="s">
        <v>36</v>
      </c>
      <c r="D120" t="s">
        <v>44</v>
      </c>
      <c r="E120" s="2">
        <v>44500</v>
      </c>
      <c r="G120">
        <v>49</v>
      </c>
      <c r="H120" t="s">
        <v>12</v>
      </c>
    </row>
    <row r="121" spans="1:8" x14ac:dyDescent="0.3">
      <c r="A121" t="s">
        <v>238</v>
      </c>
      <c r="B121" t="s">
        <v>105</v>
      </c>
      <c r="C121" t="s">
        <v>10</v>
      </c>
      <c r="D121" t="s">
        <v>20</v>
      </c>
      <c r="E121" t="s">
        <v>239</v>
      </c>
      <c r="G121">
        <v>69</v>
      </c>
      <c r="H121" t="s">
        <v>108</v>
      </c>
    </row>
    <row r="122" spans="1:8" x14ac:dyDescent="0.3">
      <c r="A122" t="s">
        <v>240</v>
      </c>
      <c r="B122" t="s">
        <v>59</v>
      </c>
      <c r="C122" t="s">
        <v>54</v>
      </c>
      <c r="D122" t="s">
        <v>44</v>
      </c>
      <c r="E122" s="2">
        <v>42956</v>
      </c>
      <c r="G122">
        <v>76</v>
      </c>
      <c r="H122" t="s">
        <v>12</v>
      </c>
    </row>
    <row r="123" spans="1:8" x14ac:dyDescent="0.3">
      <c r="A123" t="s">
        <v>241</v>
      </c>
      <c r="B123" t="s">
        <v>105</v>
      </c>
      <c r="C123" t="s">
        <v>41</v>
      </c>
      <c r="D123" t="s">
        <v>165</v>
      </c>
      <c r="E123" s="2">
        <v>44930</v>
      </c>
      <c r="F123">
        <v>60623</v>
      </c>
      <c r="G123">
        <v>78</v>
      </c>
      <c r="H123" t="s">
        <v>45</v>
      </c>
    </row>
    <row r="124" spans="1:8" x14ac:dyDescent="0.3">
      <c r="A124" t="s">
        <v>242</v>
      </c>
      <c r="B124" t="s">
        <v>66</v>
      </c>
      <c r="C124" t="s">
        <v>32</v>
      </c>
      <c r="D124" t="s">
        <v>157</v>
      </c>
      <c r="E124" t="s">
        <v>243</v>
      </c>
      <c r="F124" t="s">
        <v>244</v>
      </c>
      <c r="G124">
        <v>93</v>
      </c>
      <c r="H124" t="s">
        <v>12</v>
      </c>
    </row>
    <row r="125" spans="1:8" x14ac:dyDescent="0.3">
      <c r="A125" t="s">
        <v>245</v>
      </c>
      <c r="B125" t="s">
        <v>43</v>
      </c>
      <c r="C125" t="s">
        <v>36</v>
      </c>
      <c r="D125" t="s">
        <v>16</v>
      </c>
      <c r="E125" s="2">
        <v>44653</v>
      </c>
      <c r="F125">
        <v>88155</v>
      </c>
      <c r="G125">
        <v>68</v>
      </c>
      <c r="H125" t="s">
        <v>45</v>
      </c>
    </row>
    <row r="126" spans="1:8" x14ac:dyDescent="0.3">
      <c r="A126" t="s">
        <v>246</v>
      </c>
      <c r="B126" t="s">
        <v>160</v>
      </c>
      <c r="C126" t="s">
        <v>60</v>
      </c>
      <c r="D126" t="s">
        <v>16</v>
      </c>
      <c r="E126" t="s">
        <v>247</v>
      </c>
      <c r="F126">
        <v>107903</v>
      </c>
      <c r="G126">
        <v>42</v>
      </c>
      <c r="H126" t="s">
        <v>17</v>
      </c>
    </row>
    <row r="127" spans="1:8" x14ac:dyDescent="0.3">
      <c r="A127" t="s">
        <v>248</v>
      </c>
      <c r="B127" t="s">
        <v>160</v>
      </c>
      <c r="C127" t="s">
        <v>54</v>
      </c>
      <c r="D127" t="s">
        <v>11</v>
      </c>
      <c r="E127" s="2">
        <v>43305</v>
      </c>
      <c r="F127">
        <v>62818</v>
      </c>
      <c r="G127">
        <v>34</v>
      </c>
      <c r="H127" t="s">
        <v>17</v>
      </c>
    </row>
    <row r="128" spans="1:8" x14ac:dyDescent="0.3">
      <c r="A128" t="s">
        <v>249</v>
      </c>
      <c r="B128" t="s">
        <v>113</v>
      </c>
      <c r="C128" t="s">
        <v>54</v>
      </c>
      <c r="D128" t="s">
        <v>157</v>
      </c>
      <c r="E128" s="2">
        <v>43301</v>
      </c>
      <c r="F128">
        <v>85151</v>
      </c>
      <c r="G128">
        <v>35</v>
      </c>
      <c r="H128" t="s">
        <v>17</v>
      </c>
    </row>
    <row r="129" spans="1:8" x14ac:dyDescent="0.3">
      <c r="A129" t="s">
        <v>250</v>
      </c>
      <c r="B129" t="s">
        <v>53</v>
      </c>
      <c r="C129" t="s">
        <v>64</v>
      </c>
      <c r="D129" t="s">
        <v>76</v>
      </c>
      <c r="E129" t="s">
        <v>251</v>
      </c>
      <c r="F129">
        <v>46390</v>
      </c>
      <c r="G129">
        <v>95</v>
      </c>
      <c r="H129" t="s">
        <v>51</v>
      </c>
    </row>
    <row r="130" spans="1:8" x14ac:dyDescent="0.3">
      <c r="A130" t="s">
        <v>252</v>
      </c>
      <c r="B130" t="s">
        <v>24</v>
      </c>
      <c r="C130" t="s">
        <v>25</v>
      </c>
      <c r="D130" t="s">
        <v>157</v>
      </c>
      <c r="E130" s="2">
        <v>44643</v>
      </c>
      <c r="F130">
        <v>111920</v>
      </c>
      <c r="G130">
        <v>90</v>
      </c>
      <c r="H130" t="s">
        <v>22</v>
      </c>
    </row>
    <row r="131" spans="1:8" x14ac:dyDescent="0.3">
      <c r="A131" t="s">
        <v>253</v>
      </c>
      <c r="B131" t="s">
        <v>113</v>
      </c>
      <c r="C131" t="s">
        <v>135</v>
      </c>
      <c r="D131" t="s">
        <v>138</v>
      </c>
      <c r="E131" t="s">
        <v>254</v>
      </c>
      <c r="F131" t="s">
        <v>255</v>
      </c>
      <c r="G131">
        <v>42</v>
      </c>
      <c r="H131" t="s">
        <v>17</v>
      </c>
    </row>
    <row r="132" spans="1:8" x14ac:dyDescent="0.3">
      <c r="A132" t="s">
        <v>256</v>
      </c>
      <c r="B132" t="s">
        <v>94</v>
      </c>
      <c r="C132" t="s">
        <v>29</v>
      </c>
      <c r="D132" t="s">
        <v>44</v>
      </c>
      <c r="E132" t="s">
        <v>257</v>
      </c>
      <c r="F132" t="s">
        <v>258</v>
      </c>
      <c r="G132">
        <v>88</v>
      </c>
      <c r="H132" t="s">
        <v>116</v>
      </c>
    </row>
    <row r="133" spans="1:8" x14ac:dyDescent="0.3">
      <c r="A133" t="s">
        <v>259</v>
      </c>
      <c r="B133" t="s">
        <v>105</v>
      </c>
      <c r="C133" t="s">
        <v>15</v>
      </c>
      <c r="D133" t="s">
        <v>37</v>
      </c>
      <c r="E133" t="s">
        <v>260</v>
      </c>
      <c r="F133">
        <v>108395</v>
      </c>
      <c r="G133">
        <v>78</v>
      </c>
      <c r="H133" t="s">
        <v>30</v>
      </c>
    </row>
    <row r="134" spans="1:8" x14ac:dyDescent="0.3">
      <c r="A134" t="s">
        <v>261</v>
      </c>
      <c r="B134" t="s">
        <v>105</v>
      </c>
      <c r="C134" t="s">
        <v>32</v>
      </c>
      <c r="D134" t="s">
        <v>26</v>
      </c>
      <c r="E134" s="2">
        <v>43091</v>
      </c>
      <c r="F134">
        <v>88005</v>
      </c>
      <c r="G134">
        <v>69</v>
      </c>
      <c r="H134" t="s">
        <v>51</v>
      </c>
    </row>
    <row r="135" spans="1:8" x14ac:dyDescent="0.3">
      <c r="A135" t="s">
        <v>262</v>
      </c>
      <c r="B135" t="s">
        <v>53</v>
      </c>
      <c r="C135" t="s">
        <v>133</v>
      </c>
      <c r="D135" t="s">
        <v>61</v>
      </c>
      <c r="E135" t="s">
        <v>263</v>
      </c>
      <c r="F135">
        <v>83007</v>
      </c>
      <c r="G135">
        <v>82</v>
      </c>
      <c r="H135" t="s">
        <v>45</v>
      </c>
    </row>
    <row r="136" spans="1:8" x14ac:dyDescent="0.3">
      <c r="A136" t="s">
        <v>264</v>
      </c>
      <c r="B136" t="s">
        <v>113</v>
      </c>
      <c r="C136" t="s">
        <v>64</v>
      </c>
      <c r="D136" t="s">
        <v>11</v>
      </c>
      <c r="E136" s="2">
        <v>43360</v>
      </c>
      <c r="F136" t="s">
        <v>265</v>
      </c>
      <c r="G136">
        <v>68</v>
      </c>
      <c r="H136" t="s">
        <v>17</v>
      </c>
    </row>
    <row r="137" spans="1:8" x14ac:dyDescent="0.3">
      <c r="A137" t="s">
        <v>266</v>
      </c>
      <c r="B137" t="s">
        <v>66</v>
      </c>
      <c r="C137" t="s">
        <v>36</v>
      </c>
      <c r="D137" t="s">
        <v>48</v>
      </c>
      <c r="E137" s="2">
        <v>44375</v>
      </c>
      <c r="G137">
        <v>52</v>
      </c>
      <c r="H137" t="s">
        <v>45</v>
      </c>
    </row>
    <row r="138" spans="1:8" x14ac:dyDescent="0.3">
      <c r="A138" t="s">
        <v>267</v>
      </c>
      <c r="B138" t="s">
        <v>14</v>
      </c>
      <c r="C138" t="s">
        <v>32</v>
      </c>
      <c r="D138" t="s">
        <v>33</v>
      </c>
      <c r="E138" t="s">
        <v>268</v>
      </c>
      <c r="F138">
        <v>50399</v>
      </c>
      <c r="G138">
        <v>92</v>
      </c>
      <c r="H138" t="s">
        <v>108</v>
      </c>
    </row>
    <row r="139" spans="1:8" x14ac:dyDescent="0.3">
      <c r="A139" t="s">
        <v>269</v>
      </c>
      <c r="B139" t="s">
        <v>14</v>
      </c>
      <c r="C139" t="s">
        <v>54</v>
      </c>
      <c r="D139" t="s">
        <v>26</v>
      </c>
      <c r="E139" t="s">
        <v>270</v>
      </c>
      <c r="G139">
        <v>62</v>
      </c>
      <c r="H139" t="s">
        <v>17</v>
      </c>
    </row>
    <row r="140" spans="1:8" x14ac:dyDescent="0.3">
      <c r="A140" t="s">
        <v>271</v>
      </c>
      <c r="B140" t="s">
        <v>24</v>
      </c>
      <c r="C140" t="s">
        <v>15</v>
      </c>
      <c r="D140" t="s">
        <v>33</v>
      </c>
      <c r="E140" s="2">
        <v>43257</v>
      </c>
      <c r="F140">
        <v>52720</v>
      </c>
      <c r="G140">
        <v>68</v>
      </c>
      <c r="H140" t="s">
        <v>17</v>
      </c>
    </row>
    <row r="141" spans="1:8" x14ac:dyDescent="0.3">
      <c r="A141" t="s">
        <v>272</v>
      </c>
      <c r="B141" t="s">
        <v>94</v>
      </c>
      <c r="C141" t="s">
        <v>19</v>
      </c>
      <c r="D141" t="s">
        <v>33</v>
      </c>
      <c r="E141" s="2">
        <v>42932</v>
      </c>
      <c r="F141">
        <v>65065</v>
      </c>
      <c r="G141">
        <v>98</v>
      </c>
      <c r="H141" t="s">
        <v>45</v>
      </c>
    </row>
    <row r="142" spans="1:8" x14ac:dyDescent="0.3">
      <c r="A142" t="s">
        <v>273</v>
      </c>
      <c r="B142" t="s">
        <v>105</v>
      </c>
      <c r="C142" t="s">
        <v>15</v>
      </c>
      <c r="D142" t="s">
        <v>44</v>
      </c>
      <c r="E142" s="2">
        <v>42175</v>
      </c>
      <c r="G142">
        <v>94</v>
      </c>
      <c r="H142" t="s">
        <v>116</v>
      </c>
    </row>
    <row r="143" spans="1:8" x14ac:dyDescent="0.3">
      <c r="A143" t="s">
        <v>274</v>
      </c>
      <c r="B143" t="s">
        <v>105</v>
      </c>
      <c r="C143" t="s">
        <v>15</v>
      </c>
      <c r="D143" t="s">
        <v>37</v>
      </c>
      <c r="E143" s="2">
        <v>43609</v>
      </c>
      <c r="F143" t="s">
        <v>275</v>
      </c>
      <c r="G143">
        <v>57</v>
      </c>
      <c r="H143" t="s">
        <v>116</v>
      </c>
    </row>
    <row r="144" spans="1:8" x14ac:dyDescent="0.3">
      <c r="A144" t="s">
        <v>276</v>
      </c>
      <c r="B144" t="s">
        <v>24</v>
      </c>
      <c r="C144" t="s">
        <v>64</v>
      </c>
      <c r="D144" t="s">
        <v>84</v>
      </c>
      <c r="E144" s="2">
        <v>43887</v>
      </c>
      <c r="G144">
        <v>96</v>
      </c>
      <c r="H144" t="s">
        <v>12</v>
      </c>
    </row>
    <row r="145" spans="1:8" x14ac:dyDescent="0.3">
      <c r="A145" t="s">
        <v>277</v>
      </c>
      <c r="B145" t="s">
        <v>14</v>
      </c>
      <c r="C145" t="s">
        <v>64</v>
      </c>
      <c r="D145" t="s">
        <v>97</v>
      </c>
      <c r="E145" s="2">
        <v>44991</v>
      </c>
      <c r="F145">
        <v>106896</v>
      </c>
      <c r="G145">
        <v>52</v>
      </c>
      <c r="H145" t="s">
        <v>22</v>
      </c>
    </row>
    <row r="146" spans="1:8" x14ac:dyDescent="0.3">
      <c r="A146" t="s">
        <v>278</v>
      </c>
      <c r="C146" t="s">
        <v>60</v>
      </c>
      <c r="D146" t="s">
        <v>20</v>
      </c>
      <c r="E146" t="s">
        <v>279</v>
      </c>
      <c r="F146">
        <v>112887</v>
      </c>
      <c r="G146">
        <v>59</v>
      </c>
      <c r="H146" t="s">
        <v>51</v>
      </c>
    </row>
    <row r="147" spans="1:8" x14ac:dyDescent="0.3">
      <c r="A147" t="s">
        <v>280</v>
      </c>
      <c r="B147" t="s">
        <v>160</v>
      </c>
      <c r="C147" t="s">
        <v>41</v>
      </c>
      <c r="D147" t="s">
        <v>26</v>
      </c>
      <c r="E147" s="2">
        <v>45037</v>
      </c>
      <c r="F147">
        <v>85457</v>
      </c>
      <c r="G147">
        <v>79</v>
      </c>
      <c r="H147" t="s">
        <v>17</v>
      </c>
    </row>
    <row r="148" spans="1:8" x14ac:dyDescent="0.3">
      <c r="A148" t="s">
        <v>281</v>
      </c>
      <c r="B148" t="s">
        <v>105</v>
      </c>
      <c r="C148" t="s">
        <v>47</v>
      </c>
      <c r="D148" t="s">
        <v>48</v>
      </c>
      <c r="E148" s="2">
        <v>42519</v>
      </c>
      <c r="F148">
        <v>62798</v>
      </c>
      <c r="G148">
        <v>30</v>
      </c>
      <c r="H148" t="s">
        <v>17</v>
      </c>
    </row>
    <row r="149" spans="1:8" x14ac:dyDescent="0.3">
      <c r="A149" t="s">
        <v>282</v>
      </c>
      <c r="B149" t="s">
        <v>9</v>
      </c>
      <c r="C149" t="s">
        <v>25</v>
      </c>
      <c r="D149" t="s">
        <v>33</v>
      </c>
      <c r="E149" s="2">
        <v>44711</v>
      </c>
      <c r="F149">
        <v>47794</v>
      </c>
      <c r="G149">
        <v>73</v>
      </c>
      <c r="H149" t="s">
        <v>22</v>
      </c>
    </row>
    <row r="150" spans="1:8" x14ac:dyDescent="0.3">
      <c r="A150" t="s">
        <v>283</v>
      </c>
      <c r="B150" t="s">
        <v>66</v>
      </c>
      <c r="C150" t="s">
        <v>41</v>
      </c>
      <c r="D150" t="s">
        <v>16</v>
      </c>
      <c r="E150" t="s">
        <v>284</v>
      </c>
      <c r="F150">
        <v>93094</v>
      </c>
      <c r="G150">
        <v>74</v>
      </c>
      <c r="H150" t="s">
        <v>12</v>
      </c>
    </row>
    <row r="151" spans="1:8" x14ac:dyDescent="0.3">
      <c r="A151" t="s">
        <v>285</v>
      </c>
      <c r="B151" t="s">
        <v>71</v>
      </c>
      <c r="C151" t="s">
        <v>10</v>
      </c>
      <c r="D151" t="s">
        <v>11</v>
      </c>
      <c r="E151" s="2">
        <v>44848</v>
      </c>
      <c r="F151" t="s">
        <v>286</v>
      </c>
      <c r="G151">
        <v>91</v>
      </c>
      <c r="H151" t="s">
        <v>17</v>
      </c>
    </row>
  </sheetData>
  <autoFilter ref="A1:H15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15961-CEC1-40C6-9EAB-F2566B2A6843}">
  <dimension ref="A3:H34"/>
  <sheetViews>
    <sheetView zoomScale="56" zoomScaleNormal="92" workbookViewId="0">
      <selection activeCell="C27" sqref="C27"/>
    </sheetView>
  </sheetViews>
  <sheetFormatPr defaultRowHeight="14.4" x14ac:dyDescent="0.3"/>
  <cols>
    <col min="1" max="1" width="26.109375" bestFit="1" customWidth="1"/>
    <col min="2" max="2" width="20" bestFit="1" customWidth="1"/>
    <col min="3" max="3" width="23.109375" bestFit="1" customWidth="1"/>
    <col min="4" max="4" width="26.88671875" bestFit="1" customWidth="1"/>
    <col min="5" max="5" width="37.21875" bestFit="1" customWidth="1"/>
    <col min="6" max="6" width="23.109375" bestFit="1" customWidth="1"/>
    <col min="7" max="7" width="32.6640625" bestFit="1" customWidth="1"/>
    <col min="8" max="9" width="17" bestFit="1" customWidth="1"/>
  </cols>
  <sheetData>
    <row r="3" spans="1:8" x14ac:dyDescent="0.3">
      <c r="A3" s="7" t="s">
        <v>437</v>
      </c>
      <c r="C3" s="8" t="s">
        <v>441</v>
      </c>
      <c r="D3" s="7" t="s">
        <v>438</v>
      </c>
      <c r="F3" s="8" t="s">
        <v>441</v>
      </c>
      <c r="G3" s="7" t="s">
        <v>442</v>
      </c>
    </row>
    <row r="4" spans="1:8" x14ac:dyDescent="0.3">
      <c r="A4" s="3">
        <v>145</v>
      </c>
      <c r="B4">
        <f>GETPIVOTDATA("Emp_ID",$A$3)</f>
        <v>145</v>
      </c>
      <c r="C4" s="9" t="s">
        <v>291</v>
      </c>
      <c r="D4" s="3">
        <v>1477866</v>
      </c>
      <c r="F4" s="9" t="s">
        <v>291</v>
      </c>
      <c r="G4" s="3">
        <v>17</v>
      </c>
    </row>
    <row r="5" spans="1:8" x14ac:dyDescent="0.3">
      <c r="C5" s="9" t="s">
        <v>289</v>
      </c>
      <c r="D5" s="3">
        <v>1336433</v>
      </c>
      <c r="F5" s="9" t="s">
        <v>289</v>
      </c>
      <c r="G5" s="3">
        <v>17</v>
      </c>
    </row>
    <row r="6" spans="1:8" x14ac:dyDescent="0.3">
      <c r="C6" s="9" t="s">
        <v>290</v>
      </c>
      <c r="D6" s="3">
        <v>2923918</v>
      </c>
      <c r="F6" s="9" t="s">
        <v>290</v>
      </c>
      <c r="G6" s="3">
        <v>33</v>
      </c>
    </row>
    <row r="7" spans="1:8" x14ac:dyDescent="0.3">
      <c r="C7" s="9" t="s">
        <v>292</v>
      </c>
      <c r="D7" s="3">
        <v>1754482</v>
      </c>
      <c r="F7" s="9" t="s">
        <v>292</v>
      </c>
      <c r="G7" s="3">
        <v>20</v>
      </c>
    </row>
    <row r="8" spans="1:8" x14ac:dyDescent="0.3">
      <c r="C8" s="9" t="s">
        <v>294</v>
      </c>
      <c r="D8" s="3">
        <v>2189534</v>
      </c>
      <c r="F8" s="9" t="s">
        <v>294</v>
      </c>
      <c r="G8" s="3">
        <v>29</v>
      </c>
    </row>
    <row r="9" spans="1:8" x14ac:dyDescent="0.3">
      <c r="C9" s="9" t="s">
        <v>293</v>
      </c>
      <c r="D9" s="3">
        <v>2248862</v>
      </c>
      <c r="F9" s="9" t="s">
        <v>293</v>
      </c>
      <c r="G9" s="3">
        <v>29</v>
      </c>
    </row>
    <row r="10" spans="1:8" x14ac:dyDescent="0.3">
      <c r="C10" s="9" t="s">
        <v>440</v>
      </c>
      <c r="D10" s="3">
        <v>11931095</v>
      </c>
      <c r="E10" s="44">
        <f>GETPIVOTDATA("Salary",$C$3)</f>
        <v>11931095</v>
      </c>
      <c r="F10" s="9" t="s">
        <v>440</v>
      </c>
      <c r="G10" s="3">
        <v>145</v>
      </c>
    </row>
    <row r="12" spans="1:8" x14ac:dyDescent="0.3">
      <c r="A12" s="8" t="s">
        <v>441</v>
      </c>
      <c r="B12" s="7" t="s">
        <v>436</v>
      </c>
      <c r="D12" s="8" t="s">
        <v>7</v>
      </c>
      <c r="E12" s="7" t="s">
        <v>443</v>
      </c>
      <c r="G12" s="7" t="s">
        <v>446</v>
      </c>
    </row>
    <row r="13" spans="1:8" x14ac:dyDescent="0.3">
      <c r="A13" s="9" t="s">
        <v>45</v>
      </c>
      <c r="B13" s="41">
        <v>0.77241379310344827</v>
      </c>
      <c r="D13" s="9" t="s">
        <v>45</v>
      </c>
      <c r="E13" s="6">
        <v>67.353055835010053</v>
      </c>
      <c r="G13" s="4">
        <v>82283.413793103449</v>
      </c>
      <c r="H13" s="43">
        <f>GETPIVOTDATA("Salary",$G$12)</f>
        <v>82283.413793103449</v>
      </c>
    </row>
    <row r="14" spans="1:8" x14ac:dyDescent="0.3">
      <c r="A14" s="10" t="s">
        <v>291</v>
      </c>
      <c r="B14" s="41">
        <v>8.2758620689655171E-2</v>
      </c>
      <c r="C14" s="40">
        <f>GETPIVOTDATA("Emp_ID",$A$12,"Employment_Status","Left")+GETPIVOTDATA("Emp_ID",$A$12,"Employment_Status","Resigned")</f>
        <v>0.22758620689655173</v>
      </c>
      <c r="D14" s="9" t="s">
        <v>30</v>
      </c>
      <c r="E14" s="6">
        <v>68.307715860379673</v>
      </c>
    </row>
    <row r="15" spans="1:8" x14ac:dyDescent="0.3">
      <c r="A15" s="10" t="s">
        <v>289</v>
      </c>
      <c r="B15" s="41">
        <v>9.6551724137931033E-2</v>
      </c>
      <c r="D15" s="9" t="s">
        <v>116</v>
      </c>
      <c r="E15" s="6">
        <v>71.7</v>
      </c>
    </row>
    <row r="16" spans="1:8" x14ac:dyDescent="0.3">
      <c r="A16" s="10" t="s">
        <v>290</v>
      </c>
      <c r="B16" s="41">
        <v>0.18620689655172415</v>
      </c>
      <c r="D16" s="9" t="s">
        <v>440</v>
      </c>
      <c r="E16" s="3">
        <v>67.804273919378346</v>
      </c>
    </row>
    <row r="17" spans="1:8" x14ac:dyDescent="0.3">
      <c r="A17" s="10" t="s">
        <v>292</v>
      </c>
      <c r="B17" s="41">
        <v>0.10344827586206896</v>
      </c>
      <c r="G17" s="8" t="s">
        <v>439</v>
      </c>
      <c r="H17" s="7" t="s">
        <v>438</v>
      </c>
    </row>
    <row r="18" spans="1:8" x14ac:dyDescent="0.3">
      <c r="A18" s="10" t="s">
        <v>294</v>
      </c>
      <c r="B18" s="41">
        <v>0.15862068965517243</v>
      </c>
      <c r="G18" s="9" t="s">
        <v>447</v>
      </c>
      <c r="H18" s="3">
        <v>1022704</v>
      </c>
    </row>
    <row r="19" spans="1:8" x14ac:dyDescent="0.3">
      <c r="A19" s="10" t="s">
        <v>293</v>
      </c>
      <c r="B19" s="41">
        <v>0.14482758620689656</v>
      </c>
      <c r="D19" s="8" t="s">
        <v>445</v>
      </c>
      <c r="E19" t="s">
        <v>444</v>
      </c>
      <c r="G19" s="9" t="s">
        <v>448</v>
      </c>
      <c r="H19" s="3">
        <v>1599529</v>
      </c>
    </row>
    <row r="20" spans="1:8" x14ac:dyDescent="0.3">
      <c r="A20" s="9" t="s">
        <v>30</v>
      </c>
      <c r="B20" s="41">
        <v>0.15862068965517243</v>
      </c>
      <c r="D20" s="9" t="s">
        <v>301</v>
      </c>
      <c r="E20" s="3">
        <v>2.1000000000000005</v>
      </c>
      <c r="G20" s="9" t="s">
        <v>449</v>
      </c>
      <c r="H20" s="3">
        <v>1437328</v>
      </c>
    </row>
    <row r="21" spans="1:8" x14ac:dyDescent="0.3">
      <c r="A21" s="10" t="s">
        <v>291</v>
      </c>
      <c r="B21" s="41">
        <v>2.7586206896551724E-2</v>
      </c>
      <c r="D21" s="9" t="s">
        <v>302</v>
      </c>
      <c r="E21" s="3">
        <v>1.6800000000000004</v>
      </c>
      <c r="G21" s="9" t="s">
        <v>450</v>
      </c>
      <c r="H21" s="3">
        <v>1517433</v>
      </c>
    </row>
    <row r="22" spans="1:8" x14ac:dyDescent="0.3">
      <c r="A22" s="10" t="s">
        <v>289</v>
      </c>
      <c r="B22" s="41">
        <v>6.8965517241379309E-3</v>
      </c>
      <c r="D22" s="9" t="s">
        <v>303</v>
      </c>
      <c r="E22" s="3">
        <v>1.08</v>
      </c>
      <c r="G22" s="9" t="s">
        <v>451</v>
      </c>
      <c r="H22" s="3">
        <v>1271858</v>
      </c>
    </row>
    <row r="23" spans="1:8" x14ac:dyDescent="0.3">
      <c r="A23" s="10" t="s">
        <v>290</v>
      </c>
      <c r="B23" s="41">
        <v>3.4482758620689655E-2</v>
      </c>
      <c r="D23" s="9" t="s">
        <v>300</v>
      </c>
      <c r="E23" s="3">
        <v>0.88000000000000045</v>
      </c>
      <c r="G23" s="9" t="s">
        <v>452</v>
      </c>
      <c r="H23" s="3">
        <v>1304199</v>
      </c>
    </row>
    <row r="24" spans="1:8" x14ac:dyDescent="0.3">
      <c r="A24" s="10" t="s">
        <v>292</v>
      </c>
      <c r="B24" s="41">
        <v>2.0689655172413793E-2</v>
      </c>
      <c r="D24" s="9" t="s">
        <v>299</v>
      </c>
      <c r="E24" s="3">
        <v>0</v>
      </c>
      <c r="G24" s="9" t="s">
        <v>453</v>
      </c>
      <c r="H24" s="3">
        <v>1221472</v>
      </c>
    </row>
    <row r="25" spans="1:8" x14ac:dyDescent="0.3">
      <c r="A25" s="10" t="s">
        <v>294</v>
      </c>
      <c r="B25" s="41">
        <v>3.4482758620689655E-2</v>
      </c>
      <c r="D25" s="9" t="s">
        <v>440</v>
      </c>
      <c r="E25" s="3">
        <v>5.7400000000000011</v>
      </c>
      <c r="G25" s="9" t="s">
        <v>454</v>
      </c>
      <c r="H25" s="3">
        <v>1345437</v>
      </c>
    </row>
    <row r="26" spans="1:8" x14ac:dyDescent="0.3">
      <c r="A26" s="10" t="s">
        <v>293</v>
      </c>
      <c r="B26" s="41">
        <v>3.4482758620689655E-2</v>
      </c>
      <c r="G26" s="9" t="s">
        <v>455</v>
      </c>
      <c r="H26" s="3">
        <v>1211135</v>
      </c>
    </row>
    <row r="27" spans="1:8" x14ac:dyDescent="0.3">
      <c r="A27" s="9" t="s">
        <v>116</v>
      </c>
      <c r="B27" s="41">
        <v>6.8965517241379309E-2</v>
      </c>
      <c r="G27" s="9" t="s">
        <v>440</v>
      </c>
      <c r="H27" s="3">
        <v>11931095</v>
      </c>
    </row>
    <row r="28" spans="1:8" x14ac:dyDescent="0.3">
      <c r="A28" s="10" t="s">
        <v>291</v>
      </c>
      <c r="B28" s="41">
        <v>6.8965517241379309E-3</v>
      </c>
    </row>
    <row r="29" spans="1:8" x14ac:dyDescent="0.3">
      <c r="A29" s="10" t="s">
        <v>289</v>
      </c>
      <c r="B29" s="41">
        <v>1.3793103448275862E-2</v>
      </c>
    </row>
    <row r="30" spans="1:8" x14ac:dyDescent="0.3">
      <c r="A30" s="10" t="s">
        <v>290</v>
      </c>
      <c r="B30" s="41">
        <v>6.8965517241379309E-3</v>
      </c>
    </row>
    <row r="31" spans="1:8" x14ac:dyDescent="0.3">
      <c r="A31" s="10" t="s">
        <v>292</v>
      </c>
      <c r="B31" s="41">
        <v>1.3793103448275862E-2</v>
      </c>
    </row>
    <row r="32" spans="1:8" x14ac:dyDescent="0.3">
      <c r="A32" s="10" t="s">
        <v>294</v>
      </c>
      <c r="B32" s="41">
        <v>6.8965517241379309E-3</v>
      </c>
    </row>
    <row r="33" spans="1:2" x14ac:dyDescent="0.3">
      <c r="A33" s="10" t="s">
        <v>293</v>
      </c>
      <c r="B33" s="41">
        <v>2.0689655172413793E-2</v>
      </c>
    </row>
    <row r="34" spans="1:2" x14ac:dyDescent="0.3">
      <c r="A34" s="9" t="s">
        <v>440</v>
      </c>
      <c r="B34" s="41">
        <v>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6B43-36BA-417A-83DA-81D1A3425D1C}">
  <dimension ref="A1"/>
  <sheetViews>
    <sheetView tabSelected="1" topLeftCell="E6" zoomScale="38" zoomScaleNormal="40" workbookViewId="0">
      <selection activeCell="AQ25" sqref="AQ25"/>
    </sheetView>
  </sheetViews>
  <sheetFormatPr defaultRowHeight="14.4" x14ac:dyDescent="0.3"/>
  <cols>
    <col min="1" max="16384" width="8.88671875" style="4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54629-CC68-4985-9364-197E143FB941}">
  <dimension ref="A1:N291"/>
  <sheetViews>
    <sheetView topLeftCell="F1" zoomScale="76" zoomScaleNormal="76" workbookViewId="0"/>
  </sheetViews>
  <sheetFormatPr defaultColWidth="28.44140625" defaultRowHeight="14.4" x14ac:dyDescent="0.3"/>
  <cols>
    <col min="5" max="5" width="20" customWidth="1"/>
    <col min="6" max="6" width="30.88671875" style="5" customWidth="1"/>
    <col min="7" max="7" width="28.44140625" style="3"/>
    <col min="12" max="12" width="28.44140625" style="40"/>
  </cols>
  <sheetData>
    <row r="1" spans="1:14" ht="15" thickBot="1" x14ac:dyDescent="0.35">
      <c r="A1" s="11" t="s">
        <v>325</v>
      </c>
      <c r="B1" s="11" t="s">
        <v>1</v>
      </c>
      <c r="C1" s="11" t="s">
        <v>2</v>
      </c>
      <c r="D1" s="11" t="s">
        <v>324</v>
      </c>
      <c r="E1" s="11" t="s">
        <v>329</v>
      </c>
      <c r="F1" s="12" t="s">
        <v>326</v>
      </c>
      <c r="G1" s="13" t="s">
        <v>5</v>
      </c>
      <c r="H1" s="11" t="s">
        <v>327</v>
      </c>
      <c r="I1" s="11" t="s">
        <v>328</v>
      </c>
      <c r="J1" s="14" t="s">
        <v>288</v>
      </c>
      <c r="K1" s="14" t="s">
        <v>297</v>
      </c>
      <c r="L1" s="36" t="s">
        <v>330</v>
      </c>
      <c r="M1" s="14" t="s">
        <v>435</v>
      </c>
      <c r="N1" s="15" t="s">
        <v>434</v>
      </c>
    </row>
    <row r="2" spans="1:14" ht="15" thickTop="1" x14ac:dyDescent="0.3">
      <c r="A2" s="16" t="s">
        <v>8</v>
      </c>
      <c r="B2" s="17" t="s">
        <v>9</v>
      </c>
      <c r="C2" s="17" t="s">
        <v>10</v>
      </c>
      <c r="D2" s="17" t="s">
        <v>304</v>
      </c>
      <c r="E2" s="17" t="s">
        <v>11</v>
      </c>
      <c r="F2" s="18">
        <v>43093</v>
      </c>
      <c r="G2" s="17">
        <v>50361</v>
      </c>
      <c r="H2" s="19">
        <v>52</v>
      </c>
      <c r="I2" s="20" t="s">
        <v>45</v>
      </c>
      <c r="J2" s="20" t="str">
        <f>VLOOKUP(E2,Lookup_Departments!$A$1:$B$7,2,FALSE)</f>
        <v>Information Technology</v>
      </c>
      <c r="K2" s="20" t="str">
        <f>VLOOKUP(H2,Lookup_Performance!$A$1:$D$6,3,TRUE)</f>
        <v>Developing</v>
      </c>
      <c r="L2" s="37">
        <f>VLOOKUP(H2,Lookup_Performance!$A$1:$D$6,4,TRUE)</f>
        <v>0.02</v>
      </c>
      <c r="M2" s="21" t="str">
        <f>TEXT(F2, "yyyy")</f>
        <v>2017</v>
      </c>
      <c r="N2" s="22">
        <v>9</v>
      </c>
    </row>
    <row r="3" spans="1:14" x14ac:dyDescent="0.3">
      <c r="A3" s="23" t="s">
        <v>13</v>
      </c>
      <c r="B3" s="24" t="s">
        <v>14</v>
      </c>
      <c r="C3" s="24" t="s">
        <v>15</v>
      </c>
      <c r="D3" s="24" t="s">
        <v>305</v>
      </c>
      <c r="E3" s="24" t="s">
        <v>16</v>
      </c>
      <c r="F3" s="25">
        <v>44777</v>
      </c>
      <c r="G3" s="24">
        <v>112673</v>
      </c>
      <c r="H3" s="26">
        <v>68.077464788732399</v>
      </c>
      <c r="I3" s="24" t="s">
        <v>45</v>
      </c>
      <c r="J3" s="24" t="str">
        <f>VLOOKUP(E3,Lookup_Departments!$A$1:$B$7,2,FALSE)</f>
        <v>Marketing</v>
      </c>
      <c r="K3" s="24" t="str">
        <f>VLOOKUP(H3,Lookup_Performance!$A$1:$D$6,3,TRUE)</f>
        <v>Developing</v>
      </c>
      <c r="L3" s="38">
        <f>VLOOKUP(H3,Lookup_Performance!$A$1:$D$6,4,TRUE)</f>
        <v>0.02</v>
      </c>
      <c r="M3" s="27" t="str">
        <f t="shared" ref="M3:M66" si="0">TEXT(F3, "yyyy")</f>
        <v>2022</v>
      </c>
      <c r="N3" s="26">
        <v>4</v>
      </c>
    </row>
    <row r="4" spans="1:14" x14ac:dyDescent="0.3">
      <c r="A4" s="28" t="s">
        <v>18</v>
      </c>
      <c r="B4" s="29" t="s">
        <v>9</v>
      </c>
      <c r="C4" s="29" t="s">
        <v>19</v>
      </c>
      <c r="D4" s="29" t="s">
        <v>306</v>
      </c>
      <c r="E4" s="29" t="s">
        <v>11</v>
      </c>
      <c r="F4" s="30">
        <v>42403</v>
      </c>
      <c r="G4" s="29">
        <v>114425</v>
      </c>
      <c r="H4" s="31">
        <v>54</v>
      </c>
      <c r="I4" s="29" t="s">
        <v>30</v>
      </c>
      <c r="J4" s="29" t="str">
        <f>VLOOKUP(E4,Lookup_Departments!$A$1:$B$7,2,FALSE)</f>
        <v>Information Technology</v>
      </c>
      <c r="K4" s="29" t="str">
        <f>VLOOKUP(H4,Lookup_Performance!$A$1:$D$6,3,TRUE)</f>
        <v>Developing</v>
      </c>
      <c r="L4" s="39">
        <f>VLOOKUP(H4,Lookup_Performance!$A$1:$D$6,4,TRUE)</f>
        <v>0.02</v>
      </c>
      <c r="M4" s="32" t="str">
        <f t="shared" si="0"/>
        <v>2016</v>
      </c>
      <c r="N4" s="31">
        <v>10</v>
      </c>
    </row>
    <row r="5" spans="1:14" x14ac:dyDescent="0.3">
      <c r="A5" s="23" t="s">
        <v>23</v>
      </c>
      <c r="B5" s="24" t="s">
        <v>24</v>
      </c>
      <c r="C5" s="24" t="s">
        <v>25</v>
      </c>
      <c r="D5" s="24" t="s">
        <v>307</v>
      </c>
      <c r="E5" s="24" t="s">
        <v>26</v>
      </c>
      <c r="F5" s="25">
        <v>44992</v>
      </c>
      <c r="G5" s="24">
        <v>103831</v>
      </c>
      <c r="H5" s="26">
        <v>70</v>
      </c>
      <c r="I5" s="24" t="s">
        <v>45</v>
      </c>
      <c r="J5" s="24" t="str">
        <f>VLOOKUP(E5,Lookup_Departments!$A$1:$B$7,2,FALSE)</f>
        <v>Finance</v>
      </c>
      <c r="K5" s="24" t="str">
        <f>VLOOKUP(H5,Lookup_Performance!$A$1:$D$6,3,TRUE)</f>
        <v>Achieving</v>
      </c>
      <c r="L5" s="38">
        <f>VLOOKUP(H5,Lookup_Performance!$A$1:$D$6,4,TRUE)</f>
        <v>0.05</v>
      </c>
      <c r="M5" s="27" t="str">
        <f t="shared" si="0"/>
        <v>2023</v>
      </c>
      <c r="N5" s="26">
        <v>3</v>
      </c>
    </row>
    <row r="6" spans="1:14" x14ac:dyDescent="0.3">
      <c r="A6" s="28" t="s">
        <v>27</v>
      </c>
      <c r="B6" s="29" t="s">
        <v>28</v>
      </c>
      <c r="C6" s="29" t="s">
        <v>29</v>
      </c>
      <c r="D6" s="29" t="s">
        <v>308</v>
      </c>
      <c r="E6" s="29" t="s">
        <v>11</v>
      </c>
      <c r="F6" s="30">
        <v>44977</v>
      </c>
      <c r="G6" s="29">
        <v>73785</v>
      </c>
      <c r="H6" s="31">
        <v>40</v>
      </c>
      <c r="I6" s="29" t="s">
        <v>30</v>
      </c>
      <c r="J6" s="29" t="str">
        <f>VLOOKUP(E6,Lookup_Departments!$A$1:$B$7,2,FALSE)</f>
        <v>Information Technology</v>
      </c>
      <c r="K6" s="29" t="str">
        <f>VLOOKUP(H6,Lookup_Performance!$A$1:$D$6,3,TRUE)</f>
        <v>Needs Improvement</v>
      </c>
      <c r="L6" s="39">
        <f>VLOOKUP(H6,Lookup_Performance!$A$1:$D$6,4,TRUE)</f>
        <v>0</v>
      </c>
      <c r="M6" s="32" t="str">
        <f t="shared" si="0"/>
        <v>2023</v>
      </c>
      <c r="N6" s="31">
        <v>3</v>
      </c>
    </row>
    <row r="7" spans="1:14" x14ac:dyDescent="0.3">
      <c r="A7" s="23" t="s">
        <v>31</v>
      </c>
      <c r="B7" s="24" t="s">
        <v>9</v>
      </c>
      <c r="C7" s="24" t="s">
        <v>32</v>
      </c>
      <c r="D7" s="24" t="s">
        <v>309</v>
      </c>
      <c r="E7" s="24" t="s">
        <v>33</v>
      </c>
      <c r="F7" s="25">
        <v>43864</v>
      </c>
      <c r="G7" s="24">
        <v>115882</v>
      </c>
      <c r="H7" s="26">
        <v>49</v>
      </c>
      <c r="I7" s="24" t="s">
        <v>45</v>
      </c>
      <c r="J7" s="24" t="str">
        <f>VLOOKUP(E7,Lookup_Departments!$A$1:$B$7,2,FALSE)</f>
        <v>Operations</v>
      </c>
      <c r="K7" s="24" t="str">
        <f>VLOOKUP(H7,Lookup_Performance!$A$1:$D$6,3,TRUE)</f>
        <v>Needs Improvement</v>
      </c>
      <c r="L7" s="38">
        <f>VLOOKUP(H7,Lookup_Performance!$A$1:$D$6,4,TRUE)</f>
        <v>0</v>
      </c>
      <c r="M7" s="27" t="str">
        <f t="shared" si="0"/>
        <v>2020</v>
      </c>
      <c r="N7" s="26">
        <v>6</v>
      </c>
    </row>
    <row r="8" spans="1:14" x14ac:dyDescent="0.3">
      <c r="A8" s="28" t="s">
        <v>35</v>
      </c>
      <c r="B8" s="29" t="s">
        <v>24</v>
      </c>
      <c r="C8" s="29" t="s">
        <v>36</v>
      </c>
      <c r="D8" s="29" t="s">
        <v>310</v>
      </c>
      <c r="E8" s="29" t="s">
        <v>33</v>
      </c>
      <c r="F8" s="30">
        <v>45272</v>
      </c>
      <c r="G8" s="29">
        <v>59980</v>
      </c>
      <c r="H8" s="31">
        <v>70</v>
      </c>
      <c r="I8" s="29" t="s">
        <v>30</v>
      </c>
      <c r="J8" s="29" t="str">
        <f>VLOOKUP(E8,Lookup_Departments!$A$1:$B$7,2,FALSE)</f>
        <v>Operations</v>
      </c>
      <c r="K8" s="29" t="str">
        <f>VLOOKUP(H8,Lookup_Performance!$A$1:$D$6,3,TRUE)</f>
        <v>Achieving</v>
      </c>
      <c r="L8" s="39">
        <f>VLOOKUP(H8,Lookup_Performance!$A$1:$D$6,4,TRUE)</f>
        <v>0.05</v>
      </c>
      <c r="M8" s="32" t="str">
        <f t="shared" si="0"/>
        <v>2023</v>
      </c>
      <c r="N8" s="31">
        <v>3</v>
      </c>
    </row>
    <row r="9" spans="1:14" x14ac:dyDescent="0.3">
      <c r="A9" s="23" t="s">
        <v>38</v>
      </c>
      <c r="B9" s="24" t="s">
        <v>39</v>
      </c>
      <c r="C9" s="24" t="s">
        <v>29</v>
      </c>
      <c r="D9" s="24" t="s">
        <v>311</v>
      </c>
      <c r="E9" s="24" t="s">
        <v>33</v>
      </c>
      <c r="F9" s="25">
        <v>44086</v>
      </c>
      <c r="G9" s="24">
        <v>68728</v>
      </c>
      <c r="H9" s="26">
        <v>45</v>
      </c>
      <c r="I9" s="24" t="s">
        <v>45</v>
      </c>
      <c r="J9" s="24" t="str">
        <f>VLOOKUP(E9,Lookup_Departments!$A$1:$B$7,2,FALSE)</f>
        <v>Operations</v>
      </c>
      <c r="K9" s="24" t="str">
        <f>VLOOKUP(H9,Lookup_Performance!$A$1:$D$6,3,TRUE)</f>
        <v>Needs Improvement</v>
      </c>
      <c r="L9" s="38">
        <f>VLOOKUP(H9,Lookup_Performance!$A$1:$D$6,4,TRUE)</f>
        <v>0</v>
      </c>
      <c r="M9" s="27" t="str">
        <f t="shared" si="0"/>
        <v>2020</v>
      </c>
      <c r="N9" s="26">
        <v>6</v>
      </c>
    </row>
    <row r="10" spans="1:14" x14ac:dyDescent="0.3">
      <c r="A10" s="28" t="s">
        <v>40</v>
      </c>
      <c r="B10" s="29" t="s">
        <v>9</v>
      </c>
      <c r="C10" s="29" t="s">
        <v>41</v>
      </c>
      <c r="D10" s="29" t="s">
        <v>341</v>
      </c>
      <c r="E10" s="29" t="s">
        <v>48</v>
      </c>
      <c r="F10" s="33">
        <v>43282</v>
      </c>
      <c r="G10" s="29">
        <v>94998</v>
      </c>
      <c r="H10" s="29">
        <v>58</v>
      </c>
      <c r="I10" s="29" t="s">
        <v>45</v>
      </c>
      <c r="J10" s="29" t="str">
        <f>VLOOKUP(E10,Lookup_Departments!$A$1:$B$7,2,FALSE)</f>
        <v>Sales</v>
      </c>
      <c r="K10" s="29" t="str">
        <f>VLOOKUP(H10,Lookup_Performance!$A$1:$D$6,3,TRUE)</f>
        <v>Developing</v>
      </c>
      <c r="L10" s="39">
        <f>VLOOKUP(H10,Lookup_Performance!$A$1:$D$6,4,TRUE)</f>
        <v>0.02</v>
      </c>
      <c r="M10" s="32" t="str">
        <f t="shared" si="0"/>
        <v>2018</v>
      </c>
      <c r="N10" s="31">
        <v>8</v>
      </c>
    </row>
    <row r="11" spans="1:14" x14ac:dyDescent="0.3">
      <c r="A11" s="23" t="s">
        <v>42</v>
      </c>
      <c r="B11" s="24" t="s">
        <v>43</v>
      </c>
      <c r="C11" s="24" t="s">
        <v>25</v>
      </c>
      <c r="D11" s="24" t="s">
        <v>312</v>
      </c>
      <c r="E11" s="24" t="s">
        <v>11</v>
      </c>
      <c r="F11" s="25">
        <v>42411</v>
      </c>
      <c r="G11" s="24">
        <v>118635</v>
      </c>
      <c r="H11" s="26">
        <v>49</v>
      </c>
      <c r="I11" s="24" t="s">
        <v>45</v>
      </c>
      <c r="J11" s="24" t="str">
        <f>VLOOKUP(E11,Lookup_Departments!$A$1:$B$7,2,FALSE)</f>
        <v>Information Technology</v>
      </c>
      <c r="K11" s="24" t="str">
        <f>VLOOKUP(H11,Lookup_Performance!$A$1:$D$6,3,TRUE)</f>
        <v>Needs Improvement</v>
      </c>
      <c r="L11" s="38">
        <f>VLOOKUP(H11,Lookup_Performance!$A$1:$D$6,4,TRUE)</f>
        <v>0</v>
      </c>
      <c r="M11" s="27" t="str">
        <f t="shared" si="0"/>
        <v>2016</v>
      </c>
      <c r="N11" s="26">
        <v>10</v>
      </c>
    </row>
    <row r="12" spans="1:14" x14ac:dyDescent="0.3">
      <c r="A12" s="28" t="s">
        <v>46</v>
      </c>
      <c r="B12" s="29" t="s">
        <v>9</v>
      </c>
      <c r="C12" s="29" t="s">
        <v>47</v>
      </c>
      <c r="D12" s="29" t="s">
        <v>313</v>
      </c>
      <c r="E12" s="29" t="s">
        <v>55</v>
      </c>
      <c r="F12" s="30">
        <v>43911</v>
      </c>
      <c r="G12" s="29">
        <v>76918</v>
      </c>
      <c r="H12" s="31">
        <v>62</v>
      </c>
      <c r="I12" s="29" t="s">
        <v>45</v>
      </c>
      <c r="J12" s="29" t="str">
        <f>VLOOKUP(E12,Lookup_Departments!$A$1:$B$7,2,FALSE)</f>
        <v>Marketing</v>
      </c>
      <c r="K12" s="29" t="str">
        <f>VLOOKUP(H12,Lookup_Performance!$A$1:$D$6,3,TRUE)</f>
        <v>Developing</v>
      </c>
      <c r="L12" s="39">
        <f>VLOOKUP(H12,Lookup_Performance!$A$1:$D$6,4,TRUE)</f>
        <v>0.02</v>
      </c>
      <c r="M12" s="32" t="str">
        <f t="shared" si="0"/>
        <v>2020</v>
      </c>
      <c r="N12" s="31">
        <v>6</v>
      </c>
    </row>
    <row r="13" spans="1:14" x14ac:dyDescent="0.3">
      <c r="A13" s="23" t="s">
        <v>50</v>
      </c>
      <c r="B13" s="24" t="s">
        <v>9</v>
      </c>
      <c r="C13" s="24" t="s">
        <v>15</v>
      </c>
      <c r="D13" s="24" t="s">
        <v>314</v>
      </c>
      <c r="E13" s="24" t="s">
        <v>16</v>
      </c>
      <c r="F13" s="25">
        <v>42425</v>
      </c>
      <c r="G13" s="24">
        <v>61408</v>
      </c>
      <c r="H13" s="26">
        <v>48</v>
      </c>
      <c r="I13" s="24" t="s">
        <v>45</v>
      </c>
      <c r="J13" s="24" t="str">
        <f>VLOOKUP(E13,Lookup_Departments!$A$1:$B$7,2,FALSE)</f>
        <v>Marketing</v>
      </c>
      <c r="K13" s="24" t="str">
        <f>VLOOKUP(H13,Lookup_Performance!$A$1:$D$6,3,TRUE)</f>
        <v>Needs Improvement</v>
      </c>
      <c r="L13" s="38">
        <f>VLOOKUP(H13,Lookup_Performance!$A$1:$D$6,4,TRUE)</f>
        <v>0</v>
      </c>
      <c r="M13" s="27" t="str">
        <f t="shared" si="0"/>
        <v>2016</v>
      </c>
      <c r="N13" s="26">
        <v>10</v>
      </c>
    </row>
    <row r="14" spans="1:14" x14ac:dyDescent="0.3">
      <c r="A14" s="28" t="s">
        <v>52</v>
      </c>
      <c r="B14" s="29" t="s">
        <v>53</v>
      </c>
      <c r="C14" s="29" t="s">
        <v>54</v>
      </c>
      <c r="D14" s="29" t="s">
        <v>315</v>
      </c>
      <c r="E14" s="29" t="s">
        <v>16</v>
      </c>
      <c r="F14" s="30">
        <v>44364</v>
      </c>
      <c r="G14" s="29">
        <v>99990</v>
      </c>
      <c r="H14" s="31">
        <v>54</v>
      </c>
      <c r="I14" s="29" t="s">
        <v>45</v>
      </c>
      <c r="J14" s="29" t="str">
        <f>VLOOKUP(E14,Lookup_Departments!$A$1:$B$7,2,FALSE)</f>
        <v>Marketing</v>
      </c>
      <c r="K14" s="29" t="str">
        <f>VLOOKUP(H14,Lookup_Performance!$A$1:$D$6,3,TRUE)</f>
        <v>Developing</v>
      </c>
      <c r="L14" s="39">
        <f>VLOOKUP(H14,Lookup_Performance!$A$1:$D$6,4,TRUE)</f>
        <v>0.02</v>
      </c>
      <c r="M14" s="32" t="str">
        <f t="shared" si="0"/>
        <v>2021</v>
      </c>
      <c r="N14" s="31">
        <v>5</v>
      </c>
    </row>
    <row r="15" spans="1:14" x14ac:dyDescent="0.3">
      <c r="A15" s="23" t="s">
        <v>57</v>
      </c>
      <c r="B15" s="24" t="s">
        <v>53</v>
      </c>
      <c r="C15" s="24" t="s">
        <v>47</v>
      </c>
      <c r="D15" s="24" t="s">
        <v>316</v>
      </c>
      <c r="E15" s="24" t="s">
        <v>44</v>
      </c>
      <c r="F15" s="25">
        <v>44001</v>
      </c>
      <c r="G15" s="24">
        <v>80385</v>
      </c>
      <c r="H15" s="26">
        <v>68.077464788732399</v>
      </c>
      <c r="I15" s="24" t="s">
        <v>45</v>
      </c>
      <c r="J15" s="24" t="str">
        <f>VLOOKUP(E15,Lookup_Departments!$A$1:$B$7,2,FALSE)</f>
        <v>Sales</v>
      </c>
      <c r="K15" s="24" t="str">
        <f>VLOOKUP(H15,Lookup_Performance!$A$1:$D$6,3,TRUE)</f>
        <v>Developing</v>
      </c>
      <c r="L15" s="38">
        <f>VLOOKUP(H15,Lookup_Performance!$A$1:$D$6,4,TRUE)</f>
        <v>0.02</v>
      </c>
      <c r="M15" s="27" t="str">
        <f t="shared" si="0"/>
        <v>2020</v>
      </c>
      <c r="N15" s="26">
        <v>6</v>
      </c>
    </row>
    <row r="16" spans="1:14" x14ac:dyDescent="0.3">
      <c r="A16" s="28" t="s">
        <v>58</v>
      </c>
      <c r="B16" s="29" t="s">
        <v>59</v>
      </c>
      <c r="C16" s="29" t="s">
        <v>60</v>
      </c>
      <c r="D16" s="29" t="s">
        <v>317</v>
      </c>
      <c r="E16" s="29" t="s">
        <v>11</v>
      </c>
      <c r="F16" s="30">
        <v>43820</v>
      </c>
      <c r="G16" s="29">
        <v>65290</v>
      </c>
      <c r="H16" s="31">
        <v>77</v>
      </c>
      <c r="I16" s="29" t="s">
        <v>45</v>
      </c>
      <c r="J16" s="29" t="str">
        <f>VLOOKUP(E16,Lookup_Departments!$A$1:$B$7,2,FALSE)</f>
        <v>Information Technology</v>
      </c>
      <c r="K16" s="29" t="str">
        <f>VLOOKUP(H16,Lookup_Performance!$A$1:$D$6,3,TRUE)</f>
        <v>Achieving</v>
      </c>
      <c r="L16" s="39">
        <f>VLOOKUP(H16,Lookup_Performance!$A$1:$D$6,4,TRUE)</f>
        <v>0.05</v>
      </c>
      <c r="M16" s="32" t="str">
        <f t="shared" si="0"/>
        <v>2019</v>
      </c>
      <c r="N16" s="31">
        <v>7</v>
      </c>
    </row>
    <row r="17" spans="1:14" x14ac:dyDescent="0.3">
      <c r="A17" s="23" t="s">
        <v>62</v>
      </c>
      <c r="B17" s="24" t="s">
        <v>28</v>
      </c>
      <c r="C17" s="24" t="s">
        <v>41</v>
      </c>
      <c r="D17" s="24" t="s">
        <v>318</v>
      </c>
      <c r="E17" s="24" t="s">
        <v>44</v>
      </c>
      <c r="F17" s="25">
        <v>45169</v>
      </c>
      <c r="G17" s="24">
        <v>105765</v>
      </c>
      <c r="H17" s="26">
        <v>42</v>
      </c>
      <c r="I17" s="24" t="s">
        <v>45</v>
      </c>
      <c r="J17" s="24" t="str">
        <f>VLOOKUP(E17,Lookup_Departments!$A$1:$B$7,2,FALSE)</f>
        <v>Sales</v>
      </c>
      <c r="K17" s="24" t="str">
        <f>VLOOKUP(H17,Lookup_Performance!$A$1:$D$6,3,TRUE)</f>
        <v>Needs Improvement</v>
      </c>
      <c r="L17" s="38">
        <f>VLOOKUP(H17,Lookup_Performance!$A$1:$D$6,4,TRUE)</f>
        <v>0</v>
      </c>
      <c r="M17" s="27" t="str">
        <f t="shared" si="0"/>
        <v>2023</v>
      </c>
      <c r="N17" s="26">
        <v>3</v>
      </c>
    </row>
    <row r="18" spans="1:14" x14ac:dyDescent="0.3">
      <c r="A18" s="28" t="s">
        <v>63</v>
      </c>
      <c r="B18" s="29" t="s">
        <v>9</v>
      </c>
      <c r="C18" s="29" t="s">
        <v>64</v>
      </c>
      <c r="D18" s="29" t="s">
        <v>319</v>
      </c>
      <c r="E18" s="29" t="s">
        <v>16</v>
      </c>
      <c r="F18" s="30">
        <v>42337</v>
      </c>
      <c r="G18" s="29">
        <v>102921</v>
      </c>
      <c r="H18" s="31">
        <v>49</v>
      </c>
      <c r="I18" s="29" t="s">
        <v>45</v>
      </c>
      <c r="J18" s="29" t="str">
        <f>VLOOKUP(E18,Lookup_Departments!$A$1:$B$7,2,FALSE)</f>
        <v>Marketing</v>
      </c>
      <c r="K18" s="29" t="str">
        <f>VLOOKUP(H18,Lookup_Performance!$A$1:$D$6,3,TRUE)</f>
        <v>Needs Improvement</v>
      </c>
      <c r="L18" s="39">
        <f>VLOOKUP(H18,Lookup_Performance!$A$1:$D$6,4,TRUE)</f>
        <v>0</v>
      </c>
      <c r="M18" s="32" t="str">
        <f t="shared" si="0"/>
        <v>2015</v>
      </c>
      <c r="N18" s="31">
        <v>11</v>
      </c>
    </row>
    <row r="19" spans="1:14" x14ac:dyDescent="0.3">
      <c r="A19" s="23" t="s">
        <v>65</v>
      </c>
      <c r="B19" s="24" t="s">
        <v>66</v>
      </c>
      <c r="C19" s="24" t="s">
        <v>25</v>
      </c>
      <c r="D19" s="24" t="s">
        <v>320</v>
      </c>
      <c r="E19" s="24" t="s">
        <v>11</v>
      </c>
      <c r="F19" s="25">
        <v>42899</v>
      </c>
      <c r="G19" s="24">
        <v>73984</v>
      </c>
      <c r="H19" s="26">
        <v>93</v>
      </c>
      <c r="I19" s="24" t="s">
        <v>45</v>
      </c>
      <c r="J19" s="24" t="str">
        <f>VLOOKUP(E19,Lookup_Departments!$A$1:$B$7,2,FALSE)</f>
        <v>Information Technology</v>
      </c>
      <c r="K19" s="24" t="str">
        <f>VLOOKUP(H19,Lookup_Performance!$A$1:$D$6,3,TRUE)</f>
        <v>Exceeding</v>
      </c>
      <c r="L19" s="38">
        <f>VLOOKUP(H19,Lookup_Performance!$A$1:$D$6,4,TRUE)</f>
        <v>0.08</v>
      </c>
      <c r="M19" s="27" t="str">
        <f t="shared" si="0"/>
        <v>2017</v>
      </c>
      <c r="N19" s="26">
        <v>9</v>
      </c>
    </row>
    <row r="20" spans="1:14" x14ac:dyDescent="0.3">
      <c r="A20" s="28" t="s">
        <v>67</v>
      </c>
      <c r="B20" s="29" t="s">
        <v>68</v>
      </c>
      <c r="C20" s="29" t="s">
        <v>69</v>
      </c>
      <c r="D20" s="29" t="s">
        <v>321</v>
      </c>
      <c r="E20" s="29" t="s">
        <v>26</v>
      </c>
      <c r="F20" s="30">
        <v>43235</v>
      </c>
      <c r="G20" s="29">
        <v>82713</v>
      </c>
      <c r="H20" s="31">
        <v>75</v>
      </c>
      <c r="I20" s="29" t="s">
        <v>45</v>
      </c>
      <c r="J20" s="29" t="str">
        <f>VLOOKUP(E20,Lookup_Departments!$A$1:$B$7,2,FALSE)</f>
        <v>Finance</v>
      </c>
      <c r="K20" s="29" t="str">
        <f>VLOOKUP(H20,Lookup_Performance!$A$1:$D$6,3,TRUE)</f>
        <v>Achieving</v>
      </c>
      <c r="L20" s="39">
        <f>VLOOKUP(H20,Lookup_Performance!$A$1:$D$6,4,TRUE)</f>
        <v>0.05</v>
      </c>
      <c r="M20" s="32" t="str">
        <f t="shared" si="0"/>
        <v>2018</v>
      </c>
      <c r="N20" s="31">
        <v>8</v>
      </c>
    </row>
    <row r="21" spans="1:14" x14ac:dyDescent="0.3">
      <c r="A21" s="23" t="s">
        <v>70</v>
      </c>
      <c r="B21" s="24" t="s">
        <v>71</v>
      </c>
      <c r="C21" s="24" t="s">
        <v>19</v>
      </c>
      <c r="D21" s="24" t="s">
        <v>322</v>
      </c>
      <c r="E21" s="24" t="s">
        <v>16</v>
      </c>
      <c r="F21" s="25">
        <v>42575</v>
      </c>
      <c r="G21" s="24">
        <v>118527</v>
      </c>
      <c r="H21" s="26">
        <v>50</v>
      </c>
      <c r="I21" s="24" t="s">
        <v>45</v>
      </c>
      <c r="J21" s="24" t="str">
        <f>VLOOKUP(E21,Lookup_Departments!$A$1:$B$7,2,FALSE)</f>
        <v>Marketing</v>
      </c>
      <c r="K21" s="24" t="str">
        <f>VLOOKUP(H21,Lookup_Performance!$A$1:$D$6,3,TRUE)</f>
        <v>Developing</v>
      </c>
      <c r="L21" s="38">
        <f>VLOOKUP(H21,Lookup_Performance!$A$1:$D$6,4,TRUE)</f>
        <v>0.02</v>
      </c>
      <c r="M21" s="27" t="str">
        <f t="shared" si="0"/>
        <v>2016</v>
      </c>
      <c r="N21" s="26">
        <v>10</v>
      </c>
    </row>
    <row r="22" spans="1:14" x14ac:dyDescent="0.3">
      <c r="A22" s="28" t="s">
        <v>72</v>
      </c>
      <c r="B22" s="29" t="s">
        <v>43</v>
      </c>
      <c r="C22" s="29" t="s">
        <v>15</v>
      </c>
      <c r="D22" s="29" t="s">
        <v>323</v>
      </c>
      <c r="E22" s="29" t="s">
        <v>11</v>
      </c>
      <c r="F22" s="30">
        <v>42928</v>
      </c>
      <c r="G22" s="29">
        <v>107871</v>
      </c>
      <c r="H22" s="31">
        <v>88</v>
      </c>
      <c r="I22" s="29" t="s">
        <v>45</v>
      </c>
      <c r="J22" s="29" t="str">
        <f>VLOOKUP(E22,Lookup_Departments!$A$1:$B$7,2,FALSE)</f>
        <v>Information Technology</v>
      </c>
      <c r="K22" s="29" t="str">
        <f>VLOOKUP(H22,Lookup_Performance!$A$1:$D$6,3,TRUE)</f>
        <v>Exceeding</v>
      </c>
      <c r="L22" s="39">
        <f>VLOOKUP(H22,Lookup_Performance!$A$1:$D$6,4,TRUE)</f>
        <v>0.08</v>
      </c>
      <c r="M22" s="32" t="str">
        <f t="shared" si="0"/>
        <v>2017</v>
      </c>
      <c r="N22" s="31">
        <v>9</v>
      </c>
    </row>
    <row r="23" spans="1:14" x14ac:dyDescent="0.3">
      <c r="A23" s="23" t="s">
        <v>73</v>
      </c>
      <c r="B23" s="24" t="s">
        <v>14</v>
      </c>
      <c r="C23" s="24" t="s">
        <v>15</v>
      </c>
      <c r="D23" s="24" t="s">
        <v>305</v>
      </c>
      <c r="E23" s="24" t="s">
        <v>26</v>
      </c>
      <c r="F23" s="25">
        <v>44353</v>
      </c>
      <c r="G23" s="24">
        <v>93956</v>
      </c>
      <c r="H23" s="26">
        <v>50</v>
      </c>
      <c r="I23" s="24" t="s">
        <v>45</v>
      </c>
      <c r="J23" s="24" t="str">
        <f>VLOOKUP(E23,Lookup_Departments!$A$1:$B$7,2,FALSE)</f>
        <v>Finance</v>
      </c>
      <c r="K23" s="24" t="str">
        <f>VLOOKUP(H23,Lookup_Performance!$A$1:$D$6,3,TRUE)</f>
        <v>Developing</v>
      </c>
      <c r="L23" s="38">
        <f>VLOOKUP(H23,Lookup_Performance!$A$1:$D$6,4,TRUE)</f>
        <v>0.02</v>
      </c>
      <c r="M23" s="27" t="str">
        <f t="shared" si="0"/>
        <v>2021</v>
      </c>
      <c r="N23" s="26">
        <v>5</v>
      </c>
    </row>
    <row r="24" spans="1:14" x14ac:dyDescent="0.3">
      <c r="A24" s="28" t="s">
        <v>74</v>
      </c>
      <c r="B24" s="29" t="s">
        <v>43</v>
      </c>
      <c r="C24" s="29" t="s">
        <v>41</v>
      </c>
      <c r="D24" s="29" t="s">
        <v>340</v>
      </c>
      <c r="E24" s="29" t="s">
        <v>44</v>
      </c>
      <c r="F24" s="30">
        <v>44874</v>
      </c>
      <c r="G24" s="29">
        <v>100851</v>
      </c>
      <c r="H24" s="31">
        <v>64</v>
      </c>
      <c r="I24" s="29" t="s">
        <v>30</v>
      </c>
      <c r="J24" s="29" t="str">
        <f>VLOOKUP(E24,Lookup_Departments!$A$1:$B$7,2,FALSE)</f>
        <v>Sales</v>
      </c>
      <c r="K24" s="29" t="str">
        <f>VLOOKUP(H24,Lookup_Performance!$A$1:$D$6,3,TRUE)</f>
        <v>Developing</v>
      </c>
      <c r="L24" s="39">
        <f>VLOOKUP(H24,Lookup_Performance!$A$1:$D$6,4,TRUE)</f>
        <v>0.02</v>
      </c>
      <c r="M24" s="32" t="str">
        <f t="shared" si="0"/>
        <v>2022</v>
      </c>
      <c r="N24" s="31">
        <v>4</v>
      </c>
    </row>
    <row r="25" spans="1:14" x14ac:dyDescent="0.3">
      <c r="A25" s="23" t="s">
        <v>75</v>
      </c>
      <c r="B25" s="24" t="s">
        <v>39</v>
      </c>
      <c r="C25" s="24" t="s">
        <v>32</v>
      </c>
      <c r="D25" s="24" t="s">
        <v>342</v>
      </c>
      <c r="E25" s="24" t="s">
        <v>44</v>
      </c>
      <c r="F25" s="25">
        <v>42565</v>
      </c>
      <c r="G25" s="24">
        <v>68655</v>
      </c>
      <c r="H25" s="26">
        <v>32</v>
      </c>
      <c r="I25" s="24" t="s">
        <v>45</v>
      </c>
      <c r="J25" s="24" t="str">
        <f>VLOOKUP(E25,Lookup_Departments!$A$1:$B$7,2,FALSE)</f>
        <v>Sales</v>
      </c>
      <c r="K25" s="24" t="str">
        <f>VLOOKUP(H25,Lookup_Performance!$A$1:$D$6,3,TRUE)</f>
        <v>Needs Improvement</v>
      </c>
      <c r="L25" s="38">
        <f>VLOOKUP(H25,Lookup_Performance!$A$1:$D$6,4,TRUE)</f>
        <v>0</v>
      </c>
      <c r="M25" s="27" t="str">
        <f t="shared" si="0"/>
        <v>2016</v>
      </c>
      <c r="N25" s="26">
        <v>10</v>
      </c>
    </row>
    <row r="26" spans="1:14" x14ac:dyDescent="0.3">
      <c r="A26" s="28" t="s">
        <v>77</v>
      </c>
      <c r="B26" s="29" t="s">
        <v>68</v>
      </c>
      <c r="C26" s="29" t="s">
        <v>54</v>
      </c>
      <c r="D26" s="29" t="s">
        <v>343</v>
      </c>
      <c r="E26" s="29" t="s">
        <v>87</v>
      </c>
      <c r="F26" s="30">
        <v>44728</v>
      </c>
      <c r="G26" s="29">
        <v>77610</v>
      </c>
      <c r="H26" s="31">
        <v>88</v>
      </c>
      <c r="I26" s="29" t="s">
        <v>45</v>
      </c>
      <c r="J26" s="29" t="str">
        <f>VLOOKUP(E26,Lookup_Departments!$A$1:$B$7,2,FALSE)</f>
        <v>Finance</v>
      </c>
      <c r="K26" s="29" t="str">
        <f>VLOOKUP(H26,Lookup_Performance!$A$1:$D$6,3,TRUE)</f>
        <v>Exceeding</v>
      </c>
      <c r="L26" s="39">
        <f>VLOOKUP(H26,Lookup_Performance!$A$1:$D$6,4,TRUE)</f>
        <v>0.08</v>
      </c>
      <c r="M26" s="32" t="str">
        <f t="shared" si="0"/>
        <v>2022</v>
      </c>
      <c r="N26" s="31">
        <v>4</v>
      </c>
    </row>
    <row r="27" spans="1:14" x14ac:dyDescent="0.3">
      <c r="A27" s="23" t="s">
        <v>78</v>
      </c>
      <c r="B27" s="24" t="s">
        <v>9</v>
      </c>
      <c r="C27" s="24" t="s">
        <v>54</v>
      </c>
      <c r="D27" s="24" t="s">
        <v>344</v>
      </c>
      <c r="E27" s="24" t="s">
        <v>44</v>
      </c>
      <c r="F27" s="34">
        <v>45134</v>
      </c>
      <c r="G27" s="24">
        <v>50873</v>
      </c>
      <c r="H27" s="24">
        <v>90</v>
      </c>
      <c r="I27" s="24" t="s">
        <v>45</v>
      </c>
      <c r="J27" s="24" t="str">
        <f>VLOOKUP(E27,Lookup_Departments!$A$1:$B$7,2,FALSE)</f>
        <v>Sales</v>
      </c>
      <c r="K27" s="24" t="str">
        <f>VLOOKUP(H27,Lookup_Performance!$A$1:$D$6,3,TRUE)</f>
        <v>Exceeding</v>
      </c>
      <c r="L27" s="38">
        <f>VLOOKUP(H27,Lookup_Performance!$A$1:$D$6,4,TRUE)</f>
        <v>0.08</v>
      </c>
      <c r="M27" s="27" t="str">
        <f t="shared" si="0"/>
        <v>2023</v>
      </c>
      <c r="N27" s="26">
        <v>3</v>
      </c>
    </row>
    <row r="28" spans="1:14" x14ac:dyDescent="0.3">
      <c r="A28" s="28" t="s">
        <v>80</v>
      </c>
      <c r="B28" s="29" t="s">
        <v>24</v>
      </c>
      <c r="C28" s="29" t="s">
        <v>36</v>
      </c>
      <c r="D28" s="29" t="s">
        <v>331</v>
      </c>
      <c r="E28" s="29" t="s">
        <v>33</v>
      </c>
      <c r="F28" s="35">
        <v>43732</v>
      </c>
      <c r="G28" s="29">
        <v>85312</v>
      </c>
      <c r="H28" s="31">
        <v>66</v>
      </c>
      <c r="I28" s="29" t="s">
        <v>45</v>
      </c>
      <c r="J28" s="29" t="str">
        <f>VLOOKUP(E28,Lookup_Departments!$A$1:$B$7,2,FALSE)</f>
        <v>Operations</v>
      </c>
      <c r="K28" s="29" t="str">
        <f>VLOOKUP(H28,Lookup_Performance!$A$1:$D$6,3,TRUE)</f>
        <v>Developing</v>
      </c>
      <c r="L28" s="39">
        <f>VLOOKUP(H28,Lookup_Performance!$A$1:$D$6,4,TRUE)</f>
        <v>0.02</v>
      </c>
      <c r="M28" s="32" t="str">
        <f t="shared" si="0"/>
        <v>2019</v>
      </c>
      <c r="N28" s="31">
        <v>7</v>
      </c>
    </row>
    <row r="29" spans="1:14" x14ac:dyDescent="0.3">
      <c r="A29" s="23" t="s">
        <v>83</v>
      </c>
      <c r="B29" s="24" t="s">
        <v>28</v>
      </c>
      <c r="C29" s="24" t="s">
        <v>41</v>
      </c>
      <c r="D29" s="24" t="s">
        <v>345</v>
      </c>
      <c r="E29" s="24" t="s">
        <v>11</v>
      </c>
      <c r="F29" s="25">
        <v>44765</v>
      </c>
      <c r="G29" s="24">
        <v>82713</v>
      </c>
      <c r="H29" s="26">
        <v>68</v>
      </c>
      <c r="I29" s="24" t="s">
        <v>45</v>
      </c>
      <c r="J29" s="24" t="str">
        <f>VLOOKUP(E29,Lookup_Departments!$A$1:$B$7,2,FALSE)</f>
        <v>Information Technology</v>
      </c>
      <c r="K29" s="24" t="str">
        <f>VLOOKUP(H29,Lookup_Performance!$A$1:$D$6,3,TRUE)</f>
        <v>Developing</v>
      </c>
      <c r="L29" s="38">
        <f>VLOOKUP(H29,Lookup_Performance!$A$1:$D$6,4,TRUE)</f>
        <v>0.02</v>
      </c>
      <c r="M29" s="27" t="str">
        <f t="shared" si="0"/>
        <v>2022</v>
      </c>
      <c r="N29" s="26">
        <v>4</v>
      </c>
    </row>
    <row r="30" spans="1:14" x14ac:dyDescent="0.3">
      <c r="A30" s="28" t="s">
        <v>86</v>
      </c>
      <c r="B30" s="29" t="s">
        <v>43</v>
      </c>
      <c r="C30" s="29" t="s">
        <v>36</v>
      </c>
      <c r="D30" s="29" t="s">
        <v>346</v>
      </c>
      <c r="E30" s="29" t="s">
        <v>84</v>
      </c>
      <c r="F30" s="30">
        <v>43233</v>
      </c>
      <c r="G30" s="29">
        <v>97055</v>
      </c>
      <c r="H30" s="31">
        <v>80</v>
      </c>
      <c r="I30" s="29" t="s">
        <v>45</v>
      </c>
      <c r="J30" s="29" t="str">
        <f>VLOOKUP(E30,Lookup_Departments!$A$1:$B$7,2,FALSE)</f>
        <v>Information Technology</v>
      </c>
      <c r="K30" s="29" t="str">
        <f>VLOOKUP(H30,Lookup_Performance!$A$1:$D$6,3,TRUE)</f>
        <v>Achieving</v>
      </c>
      <c r="L30" s="39">
        <f>VLOOKUP(H30,Lookup_Performance!$A$1:$D$6,4,TRUE)</f>
        <v>0.05</v>
      </c>
      <c r="M30" s="32" t="str">
        <f t="shared" si="0"/>
        <v>2018</v>
      </c>
      <c r="N30" s="31">
        <v>8</v>
      </c>
    </row>
    <row r="31" spans="1:14" x14ac:dyDescent="0.3">
      <c r="A31" s="23" t="s">
        <v>89</v>
      </c>
      <c r="B31" s="24" t="s">
        <v>24</v>
      </c>
      <c r="C31" s="24" t="s">
        <v>41</v>
      </c>
      <c r="D31" s="24" t="s">
        <v>347</v>
      </c>
      <c r="E31" s="24" t="s">
        <v>97</v>
      </c>
      <c r="F31" s="25">
        <v>42202</v>
      </c>
      <c r="G31" s="24">
        <v>66069</v>
      </c>
      <c r="H31" s="26">
        <v>72</v>
      </c>
      <c r="I31" s="24" t="s">
        <v>45</v>
      </c>
      <c r="J31" s="24" t="str">
        <f>VLOOKUP(E31,Lookup_Departments!$A$1:$B$7,2,FALSE)</f>
        <v>Human Resources</v>
      </c>
      <c r="K31" s="24" t="str">
        <f>VLOOKUP(H31,Lookup_Performance!$A$1:$D$6,3,TRUE)</f>
        <v>Achieving</v>
      </c>
      <c r="L31" s="38">
        <f>VLOOKUP(H31,Lookup_Performance!$A$1:$D$6,4,TRUE)</f>
        <v>0.05</v>
      </c>
      <c r="M31" s="27" t="str">
        <f t="shared" si="0"/>
        <v>2015</v>
      </c>
      <c r="N31" s="26">
        <v>11</v>
      </c>
    </row>
    <row r="32" spans="1:14" x14ac:dyDescent="0.3">
      <c r="A32" s="28" t="s">
        <v>90</v>
      </c>
      <c r="B32" s="29" t="s">
        <v>28</v>
      </c>
      <c r="C32" s="29" t="s">
        <v>15</v>
      </c>
      <c r="D32" s="29" t="s">
        <v>348</v>
      </c>
      <c r="E32" s="29" t="s">
        <v>26</v>
      </c>
      <c r="F32" s="30">
        <v>42132</v>
      </c>
      <c r="G32" s="29">
        <v>90157</v>
      </c>
      <c r="H32" s="31">
        <v>58</v>
      </c>
      <c r="I32" s="29" t="s">
        <v>45</v>
      </c>
      <c r="J32" s="29" t="str">
        <f>VLOOKUP(E32,Lookup_Departments!$A$1:$B$7,2,FALSE)</f>
        <v>Finance</v>
      </c>
      <c r="K32" s="29" t="str">
        <f>VLOOKUP(H32,Lookup_Performance!$A$1:$D$6,3,TRUE)</f>
        <v>Developing</v>
      </c>
      <c r="L32" s="39">
        <f>VLOOKUP(H32,Lookup_Performance!$A$1:$D$6,4,TRUE)</f>
        <v>0.02</v>
      </c>
      <c r="M32" s="32" t="str">
        <f t="shared" si="0"/>
        <v>2015</v>
      </c>
      <c r="N32" s="31">
        <v>11</v>
      </c>
    </row>
    <row r="33" spans="1:14" x14ac:dyDescent="0.3">
      <c r="A33" s="23" t="s">
        <v>92</v>
      </c>
      <c r="B33" s="24" t="s">
        <v>43</v>
      </c>
      <c r="C33" s="24" t="s">
        <v>32</v>
      </c>
      <c r="D33" s="24" t="s">
        <v>334</v>
      </c>
      <c r="E33" s="24" t="s">
        <v>33</v>
      </c>
      <c r="F33" s="25">
        <v>45195</v>
      </c>
      <c r="G33" s="24">
        <v>59899</v>
      </c>
      <c r="H33" s="26">
        <v>78</v>
      </c>
      <c r="I33" s="24" t="s">
        <v>45</v>
      </c>
      <c r="J33" s="24" t="str">
        <f>VLOOKUP(E33,Lookup_Departments!$A$1:$B$7,2,FALSE)</f>
        <v>Operations</v>
      </c>
      <c r="K33" s="24" t="str">
        <f>VLOOKUP(H33,Lookup_Performance!$A$1:$D$6,3,TRUE)</f>
        <v>Achieving</v>
      </c>
      <c r="L33" s="38">
        <f>VLOOKUP(H33,Lookup_Performance!$A$1:$D$6,4,TRUE)</f>
        <v>0.05</v>
      </c>
      <c r="M33" s="27" t="str">
        <f t="shared" si="0"/>
        <v>2023</v>
      </c>
      <c r="N33" s="26">
        <v>3</v>
      </c>
    </row>
    <row r="34" spans="1:14" x14ac:dyDescent="0.3">
      <c r="A34" s="28" t="s">
        <v>93</v>
      </c>
      <c r="B34" s="29" t="s">
        <v>94</v>
      </c>
      <c r="C34" s="29" t="s">
        <v>10</v>
      </c>
      <c r="D34" s="29" t="s">
        <v>349</v>
      </c>
      <c r="E34" s="29" t="s">
        <v>44</v>
      </c>
      <c r="F34" s="30">
        <v>43744</v>
      </c>
      <c r="G34" s="29">
        <v>113389</v>
      </c>
      <c r="H34" s="31">
        <v>30</v>
      </c>
      <c r="I34" s="29" t="s">
        <v>45</v>
      </c>
      <c r="J34" s="29" t="str">
        <f>VLOOKUP(E34,Lookup_Departments!$A$1:$B$7,2,FALSE)</f>
        <v>Sales</v>
      </c>
      <c r="K34" s="29" t="str">
        <f>VLOOKUP(H34,Lookup_Performance!$A$1:$D$6,3,TRUE)</f>
        <v>Needs Improvement</v>
      </c>
      <c r="L34" s="39">
        <f>VLOOKUP(H34,Lookup_Performance!$A$1:$D$6,4,TRUE)</f>
        <v>0</v>
      </c>
      <c r="M34" s="32" t="str">
        <f t="shared" si="0"/>
        <v>2019</v>
      </c>
      <c r="N34" s="31">
        <v>7</v>
      </c>
    </row>
    <row r="35" spans="1:14" x14ac:dyDescent="0.3">
      <c r="A35" s="23" t="s">
        <v>96</v>
      </c>
      <c r="B35" s="24" t="s">
        <v>53</v>
      </c>
      <c r="C35" s="24" t="s">
        <v>25</v>
      </c>
      <c r="D35" s="24" t="s">
        <v>350</v>
      </c>
      <c r="E35" s="24" t="s">
        <v>33</v>
      </c>
      <c r="F35" s="25">
        <v>44578</v>
      </c>
      <c r="G35" s="24">
        <v>111845</v>
      </c>
      <c r="H35" s="26">
        <v>98</v>
      </c>
      <c r="I35" s="24" t="s">
        <v>45</v>
      </c>
      <c r="J35" s="24" t="str">
        <f>VLOOKUP(E35,Lookup_Departments!$A$1:$B$7,2,FALSE)</f>
        <v>Operations</v>
      </c>
      <c r="K35" s="24" t="str">
        <f>VLOOKUP(H35,Lookup_Performance!$A$1:$D$6,3,TRUE)</f>
        <v>Outstanding</v>
      </c>
      <c r="L35" s="38">
        <f>VLOOKUP(H35,Lookup_Performance!$A$1:$D$6,4,TRUE)</f>
        <v>0.12</v>
      </c>
      <c r="M35" s="27" t="str">
        <f t="shared" si="0"/>
        <v>2022</v>
      </c>
      <c r="N35" s="26">
        <v>4</v>
      </c>
    </row>
    <row r="36" spans="1:14" x14ac:dyDescent="0.3">
      <c r="A36" s="28" t="s">
        <v>98</v>
      </c>
      <c r="B36" s="29" t="s">
        <v>9</v>
      </c>
      <c r="C36" s="29" t="s">
        <v>60</v>
      </c>
      <c r="D36" s="29" t="s">
        <v>337</v>
      </c>
      <c r="E36" s="29" t="s">
        <v>44</v>
      </c>
      <c r="F36" s="30">
        <v>42801</v>
      </c>
      <c r="G36" s="29">
        <v>69219</v>
      </c>
      <c r="H36" s="31">
        <v>93</v>
      </c>
      <c r="I36" s="29" t="s">
        <v>45</v>
      </c>
      <c r="J36" s="29" t="str">
        <f>VLOOKUP(E36,Lookup_Departments!$A$1:$B$7,2,FALSE)</f>
        <v>Sales</v>
      </c>
      <c r="K36" s="29" t="str">
        <f>VLOOKUP(H36,Lookup_Performance!$A$1:$D$6,3,TRUE)</f>
        <v>Exceeding</v>
      </c>
      <c r="L36" s="39">
        <f>VLOOKUP(H36,Lookup_Performance!$A$1:$D$6,4,TRUE)</f>
        <v>0.08</v>
      </c>
      <c r="M36" s="32" t="str">
        <f t="shared" si="0"/>
        <v>2017</v>
      </c>
      <c r="N36" s="31">
        <v>9</v>
      </c>
    </row>
    <row r="37" spans="1:14" x14ac:dyDescent="0.3">
      <c r="A37" s="23" t="s">
        <v>100</v>
      </c>
      <c r="B37" s="24" t="s">
        <v>9</v>
      </c>
      <c r="C37" s="24" t="s">
        <v>10</v>
      </c>
      <c r="D37" s="24" t="s">
        <v>351</v>
      </c>
      <c r="E37" s="24" t="s">
        <v>44</v>
      </c>
      <c r="F37" s="34">
        <v>42013</v>
      </c>
      <c r="G37" s="24">
        <v>82713</v>
      </c>
      <c r="H37" s="24">
        <v>80</v>
      </c>
      <c r="I37" s="24" t="s">
        <v>45</v>
      </c>
      <c r="J37" s="24" t="str">
        <f>VLOOKUP(E37,Lookup_Departments!$A$1:$B$7,2,FALSE)</f>
        <v>Sales</v>
      </c>
      <c r="K37" s="24" t="str">
        <f>VLOOKUP(H37,Lookup_Performance!$A$1:$D$6,3,TRUE)</f>
        <v>Achieving</v>
      </c>
      <c r="L37" s="38">
        <f>VLOOKUP(H37,Lookup_Performance!$A$1:$D$6,4,TRUE)</f>
        <v>0.05</v>
      </c>
      <c r="M37" s="27" t="str">
        <f t="shared" si="0"/>
        <v>2015</v>
      </c>
      <c r="N37" s="26">
        <v>11</v>
      </c>
    </row>
    <row r="38" spans="1:14" x14ac:dyDescent="0.3">
      <c r="A38" s="28" t="s">
        <v>102</v>
      </c>
      <c r="B38" s="29" t="s">
        <v>24</v>
      </c>
      <c r="C38" s="29" t="s">
        <v>36</v>
      </c>
      <c r="D38" s="29" t="s">
        <v>352</v>
      </c>
      <c r="E38" s="29" t="s">
        <v>33</v>
      </c>
      <c r="F38" s="30">
        <v>44628</v>
      </c>
      <c r="G38" s="29">
        <v>57514</v>
      </c>
      <c r="H38" s="31">
        <v>68.077464788732399</v>
      </c>
      <c r="I38" s="29" t="s">
        <v>45</v>
      </c>
      <c r="J38" s="29" t="str">
        <f>VLOOKUP(E38,Lookup_Departments!$A$1:$B$7,2,FALSE)</f>
        <v>Operations</v>
      </c>
      <c r="K38" s="29" t="str">
        <f>VLOOKUP(H38,Lookup_Performance!$A$1:$D$6,3,TRUE)</f>
        <v>Developing</v>
      </c>
      <c r="L38" s="39">
        <f>VLOOKUP(H38,Lookup_Performance!$A$1:$D$6,4,TRUE)</f>
        <v>0.02</v>
      </c>
      <c r="M38" s="32" t="str">
        <f t="shared" si="0"/>
        <v>2022</v>
      </c>
      <c r="N38" s="31">
        <v>4</v>
      </c>
    </row>
    <row r="39" spans="1:14" x14ac:dyDescent="0.3">
      <c r="A39" s="23" t="s">
        <v>104</v>
      </c>
      <c r="B39" s="24" t="s">
        <v>105</v>
      </c>
      <c r="C39" s="24" t="s">
        <v>10</v>
      </c>
      <c r="D39" s="24" t="s">
        <v>353</v>
      </c>
      <c r="E39" s="24" t="s">
        <v>11</v>
      </c>
      <c r="F39" s="25">
        <v>44741</v>
      </c>
      <c r="G39" s="24">
        <v>86245</v>
      </c>
      <c r="H39" s="26">
        <v>71</v>
      </c>
      <c r="I39" s="24" t="s">
        <v>45</v>
      </c>
      <c r="J39" s="24" t="str">
        <f>VLOOKUP(E39,Lookup_Departments!$A$1:$B$7,2,FALSE)</f>
        <v>Information Technology</v>
      </c>
      <c r="K39" s="24" t="str">
        <f>VLOOKUP(H39,Lookup_Performance!$A$1:$D$6,3,TRUE)</f>
        <v>Achieving</v>
      </c>
      <c r="L39" s="38">
        <f>VLOOKUP(H39,Lookup_Performance!$A$1:$D$6,4,TRUE)</f>
        <v>0.05</v>
      </c>
      <c r="M39" s="27" t="str">
        <f t="shared" si="0"/>
        <v>2022</v>
      </c>
      <c r="N39" s="26">
        <v>4</v>
      </c>
    </row>
    <row r="40" spans="1:14" x14ac:dyDescent="0.3">
      <c r="A40" s="28" t="s">
        <v>107</v>
      </c>
      <c r="B40" s="29" t="s">
        <v>43</v>
      </c>
      <c r="C40" s="29" t="s">
        <v>29</v>
      </c>
      <c r="D40" s="29" t="s">
        <v>354</v>
      </c>
      <c r="E40" s="29" t="s">
        <v>44</v>
      </c>
      <c r="F40" s="30">
        <v>43949</v>
      </c>
      <c r="G40" s="29">
        <v>52407</v>
      </c>
      <c r="H40" s="31">
        <v>55</v>
      </c>
      <c r="I40" s="29" t="s">
        <v>30</v>
      </c>
      <c r="J40" s="29" t="str">
        <f>VLOOKUP(E40,Lookup_Departments!$A$1:$B$7,2,FALSE)</f>
        <v>Sales</v>
      </c>
      <c r="K40" s="29" t="str">
        <f>VLOOKUP(H40,Lookup_Performance!$A$1:$D$6,3,TRUE)</f>
        <v>Developing</v>
      </c>
      <c r="L40" s="39">
        <f>VLOOKUP(H40,Lookup_Performance!$A$1:$D$6,4,TRUE)</f>
        <v>0.02</v>
      </c>
      <c r="M40" s="32" t="str">
        <f t="shared" si="0"/>
        <v>2020</v>
      </c>
      <c r="N40" s="31">
        <v>6</v>
      </c>
    </row>
    <row r="41" spans="1:14" x14ac:dyDescent="0.3">
      <c r="A41" s="23" t="s">
        <v>109</v>
      </c>
      <c r="B41" s="24" t="s">
        <v>94</v>
      </c>
      <c r="C41" s="24" t="s">
        <v>47</v>
      </c>
      <c r="D41" s="24" t="s">
        <v>355</v>
      </c>
      <c r="E41" s="24" t="s">
        <v>33</v>
      </c>
      <c r="F41" s="25">
        <v>42987</v>
      </c>
      <c r="G41" s="24">
        <v>66606</v>
      </c>
      <c r="H41" s="26">
        <v>93</v>
      </c>
      <c r="I41" s="24" t="s">
        <v>45</v>
      </c>
      <c r="J41" s="24" t="str">
        <f>VLOOKUP(E41,Lookup_Departments!$A$1:$B$7,2,FALSE)</f>
        <v>Operations</v>
      </c>
      <c r="K41" s="24" t="str">
        <f>VLOOKUP(H41,Lookup_Performance!$A$1:$D$6,3,TRUE)</f>
        <v>Exceeding</v>
      </c>
      <c r="L41" s="38">
        <f>VLOOKUP(H41,Lookup_Performance!$A$1:$D$6,4,TRUE)</f>
        <v>0.08</v>
      </c>
      <c r="M41" s="27" t="str">
        <f t="shared" si="0"/>
        <v>2017</v>
      </c>
      <c r="N41" s="26">
        <v>9</v>
      </c>
    </row>
    <row r="42" spans="1:14" x14ac:dyDescent="0.3">
      <c r="A42" s="28" t="s">
        <v>111</v>
      </c>
      <c r="B42" s="29" t="s">
        <v>9</v>
      </c>
      <c r="C42" s="29" t="s">
        <v>36</v>
      </c>
      <c r="D42" s="29" t="s">
        <v>356</v>
      </c>
      <c r="E42" s="29" t="s">
        <v>16</v>
      </c>
      <c r="F42" s="30">
        <v>43181</v>
      </c>
      <c r="G42" s="29">
        <v>81896</v>
      </c>
      <c r="H42" s="31">
        <v>79</v>
      </c>
      <c r="I42" s="29" t="s">
        <v>30</v>
      </c>
      <c r="J42" s="29" t="str">
        <f>VLOOKUP(E42,Lookup_Departments!$A$1:$B$7,2,FALSE)</f>
        <v>Marketing</v>
      </c>
      <c r="K42" s="29" t="str">
        <f>VLOOKUP(H42,Lookup_Performance!$A$1:$D$6,3,TRUE)</f>
        <v>Achieving</v>
      </c>
      <c r="L42" s="39">
        <f>VLOOKUP(H42,Lookup_Performance!$A$1:$D$6,4,TRUE)</f>
        <v>0.05</v>
      </c>
      <c r="M42" s="32" t="str">
        <f t="shared" si="0"/>
        <v>2018</v>
      </c>
      <c r="N42" s="31">
        <v>8</v>
      </c>
    </row>
    <row r="43" spans="1:14" x14ac:dyDescent="0.3">
      <c r="A43" s="23" t="s">
        <v>112</v>
      </c>
      <c r="B43" s="24" t="s">
        <v>113</v>
      </c>
      <c r="C43" s="24" t="s">
        <v>15</v>
      </c>
      <c r="D43" s="24" t="s">
        <v>357</v>
      </c>
      <c r="E43" s="24" t="s">
        <v>33</v>
      </c>
      <c r="F43" s="25">
        <v>44017</v>
      </c>
      <c r="G43" s="24">
        <v>78402</v>
      </c>
      <c r="H43" s="26">
        <v>54</v>
      </c>
      <c r="I43" s="24" t="s">
        <v>45</v>
      </c>
      <c r="J43" s="24" t="str">
        <f>VLOOKUP(E43,Lookup_Departments!$A$1:$B$7,2,FALSE)</f>
        <v>Operations</v>
      </c>
      <c r="K43" s="24" t="str">
        <f>VLOOKUP(H43,Lookup_Performance!$A$1:$D$6,3,TRUE)</f>
        <v>Developing</v>
      </c>
      <c r="L43" s="38">
        <f>VLOOKUP(H43,Lookup_Performance!$A$1:$D$6,4,TRUE)</f>
        <v>0.02</v>
      </c>
      <c r="M43" s="27" t="str">
        <f t="shared" si="0"/>
        <v>2020</v>
      </c>
      <c r="N43" s="26">
        <v>6</v>
      </c>
    </row>
    <row r="44" spans="1:14" x14ac:dyDescent="0.3">
      <c r="A44" s="28" t="s">
        <v>114</v>
      </c>
      <c r="B44" s="29" t="s">
        <v>66</v>
      </c>
      <c r="C44" s="29" t="s">
        <v>29</v>
      </c>
      <c r="D44" s="29" t="s">
        <v>358</v>
      </c>
      <c r="E44" s="29" t="s">
        <v>11</v>
      </c>
      <c r="F44" s="30">
        <v>43549</v>
      </c>
      <c r="G44" s="29">
        <v>105498</v>
      </c>
      <c r="H44" s="31">
        <v>76</v>
      </c>
      <c r="I44" s="29" t="s">
        <v>116</v>
      </c>
      <c r="J44" s="29" t="str">
        <f>VLOOKUP(E44,Lookup_Departments!$A$1:$B$7,2,FALSE)</f>
        <v>Information Technology</v>
      </c>
      <c r="K44" s="29" t="str">
        <f>VLOOKUP(H44,Lookup_Performance!$A$1:$D$6,3,TRUE)</f>
        <v>Achieving</v>
      </c>
      <c r="L44" s="39">
        <f>VLOOKUP(H44,Lookup_Performance!$A$1:$D$6,4,TRUE)</f>
        <v>0.05</v>
      </c>
      <c r="M44" s="32" t="str">
        <f t="shared" si="0"/>
        <v>2019</v>
      </c>
      <c r="N44" s="31">
        <v>7</v>
      </c>
    </row>
    <row r="45" spans="1:14" x14ac:dyDescent="0.3">
      <c r="A45" s="23" t="s">
        <v>117</v>
      </c>
      <c r="B45" s="24" t="s">
        <v>94</v>
      </c>
      <c r="C45" s="24" t="s">
        <v>54</v>
      </c>
      <c r="D45" s="24" t="s">
        <v>359</v>
      </c>
      <c r="E45" s="24" t="s">
        <v>55</v>
      </c>
      <c r="F45" s="25">
        <v>43716</v>
      </c>
      <c r="G45" s="24">
        <v>91749</v>
      </c>
      <c r="H45" s="26">
        <v>72</v>
      </c>
      <c r="I45" s="24" t="s">
        <v>116</v>
      </c>
      <c r="J45" s="24" t="str">
        <f>VLOOKUP(E45,Lookup_Departments!$A$1:$B$7,2,FALSE)</f>
        <v>Marketing</v>
      </c>
      <c r="K45" s="24" t="str">
        <f>VLOOKUP(H45,Lookup_Performance!$A$1:$D$6,3,TRUE)</f>
        <v>Achieving</v>
      </c>
      <c r="L45" s="38">
        <f>VLOOKUP(H45,Lookup_Performance!$A$1:$D$6,4,TRUE)</f>
        <v>0.05</v>
      </c>
      <c r="M45" s="27" t="str">
        <f t="shared" si="0"/>
        <v>2019</v>
      </c>
      <c r="N45" s="26">
        <v>7</v>
      </c>
    </row>
    <row r="46" spans="1:14" x14ac:dyDescent="0.3">
      <c r="A46" s="28" t="s">
        <v>118</v>
      </c>
      <c r="B46" s="29" t="s">
        <v>71</v>
      </c>
      <c r="C46" s="29" t="s">
        <v>69</v>
      </c>
      <c r="D46" s="29" t="s">
        <v>360</v>
      </c>
      <c r="E46" s="29" t="s">
        <v>97</v>
      </c>
      <c r="F46" s="30">
        <v>42565</v>
      </c>
      <c r="G46" s="29">
        <v>99935</v>
      </c>
      <c r="H46" s="31">
        <v>84</v>
      </c>
      <c r="I46" s="29" t="s">
        <v>45</v>
      </c>
      <c r="J46" s="29" t="str">
        <f>VLOOKUP(E46,Lookup_Departments!$A$1:$B$7,2,FALSE)</f>
        <v>Human Resources</v>
      </c>
      <c r="K46" s="29" t="str">
        <f>VLOOKUP(H46,Lookup_Performance!$A$1:$D$6,3,TRUE)</f>
        <v>Achieving</v>
      </c>
      <c r="L46" s="39">
        <f>VLOOKUP(H46,Lookup_Performance!$A$1:$D$6,4,TRUE)</f>
        <v>0.05</v>
      </c>
      <c r="M46" s="32" t="str">
        <f t="shared" si="0"/>
        <v>2016</v>
      </c>
      <c r="N46" s="31">
        <v>10</v>
      </c>
    </row>
    <row r="47" spans="1:14" x14ac:dyDescent="0.3">
      <c r="A47" s="23" t="s">
        <v>120</v>
      </c>
      <c r="B47" s="24" t="s">
        <v>28</v>
      </c>
      <c r="C47" s="24" t="s">
        <v>69</v>
      </c>
      <c r="D47" s="24" t="s">
        <v>336</v>
      </c>
      <c r="E47" s="24" t="s">
        <v>33</v>
      </c>
      <c r="F47" s="25">
        <v>42470</v>
      </c>
      <c r="G47" s="24">
        <v>83531</v>
      </c>
      <c r="H47" s="26">
        <v>30</v>
      </c>
      <c r="I47" s="24" t="s">
        <v>45</v>
      </c>
      <c r="J47" s="24" t="str">
        <f>VLOOKUP(E47,Lookup_Departments!$A$1:$B$7,2,FALSE)</f>
        <v>Operations</v>
      </c>
      <c r="K47" s="24" t="str">
        <f>VLOOKUP(H47,Lookup_Performance!$A$1:$D$6,3,TRUE)</f>
        <v>Needs Improvement</v>
      </c>
      <c r="L47" s="38">
        <f>VLOOKUP(H47,Lookup_Performance!$A$1:$D$6,4,TRUE)</f>
        <v>0</v>
      </c>
      <c r="M47" s="27" t="str">
        <f t="shared" si="0"/>
        <v>2016</v>
      </c>
      <c r="N47" s="26">
        <v>10</v>
      </c>
    </row>
    <row r="48" spans="1:14" x14ac:dyDescent="0.3">
      <c r="A48" s="28" t="s">
        <v>121</v>
      </c>
      <c r="B48" s="29" t="s">
        <v>105</v>
      </c>
      <c r="C48" s="29" t="s">
        <v>32</v>
      </c>
      <c r="D48" s="29" t="s">
        <v>361</v>
      </c>
      <c r="E48" s="29" t="s">
        <v>26</v>
      </c>
      <c r="F48" s="30">
        <v>43745</v>
      </c>
      <c r="G48" s="29">
        <v>75023</v>
      </c>
      <c r="H48" s="31">
        <v>68.077464788732399</v>
      </c>
      <c r="I48" s="29" t="s">
        <v>30</v>
      </c>
      <c r="J48" s="29" t="str">
        <f>VLOOKUP(E48,Lookup_Departments!$A$1:$B$7,2,FALSE)</f>
        <v>Finance</v>
      </c>
      <c r="K48" s="29" t="str">
        <f>VLOOKUP(H48,Lookup_Performance!$A$1:$D$6,3,TRUE)</f>
        <v>Developing</v>
      </c>
      <c r="L48" s="39">
        <f>VLOOKUP(H48,Lookup_Performance!$A$1:$D$6,4,TRUE)</f>
        <v>0.02</v>
      </c>
      <c r="M48" s="32" t="str">
        <f t="shared" si="0"/>
        <v>2019</v>
      </c>
      <c r="N48" s="31">
        <v>7</v>
      </c>
    </row>
    <row r="49" spans="1:14" x14ac:dyDescent="0.3">
      <c r="A49" s="23" t="s">
        <v>123</v>
      </c>
      <c r="B49" s="24" t="s">
        <v>71</v>
      </c>
      <c r="C49" s="24" t="s">
        <v>32</v>
      </c>
      <c r="D49" s="24" t="s">
        <v>362</v>
      </c>
      <c r="E49" s="24" t="s">
        <v>44</v>
      </c>
      <c r="F49" s="25">
        <v>44437</v>
      </c>
      <c r="G49" s="24">
        <v>93290</v>
      </c>
      <c r="H49" s="26">
        <v>53</v>
      </c>
      <c r="I49" s="24" t="s">
        <v>116</v>
      </c>
      <c r="J49" s="24" t="str">
        <f>VLOOKUP(E49,Lookup_Departments!$A$1:$B$7,2,FALSE)</f>
        <v>Sales</v>
      </c>
      <c r="K49" s="24" t="str">
        <f>VLOOKUP(H49,Lookup_Performance!$A$1:$D$6,3,TRUE)</f>
        <v>Developing</v>
      </c>
      <c r="L49" s="38">
        <f>VLOOKUP(H49,Lookup_Performance!$A$1:$D$6,4,TRUE)</f>
        <v>0.02</v>
      </c>
      <c r="M49" s="27" t="str">
        <f t="shared" si="0"/>
        <v>2021</v>
      </c>
      <c r="N49" s="26">
        <v>5</v>
      </c>
    </row>
    <row r="50" spans="1:14" x14ac:dyDescent="0.3">
      <c r="A50" s="28" t="s">
        <v>124</v>
      </c>
      <c r="B50" s="29" t="s">
        <v>24</v>
      </c>
      <c r="C50" s="29" t="s">
        <v>64</v>
      </c>
      <c r="D50" s="29" t="s">
        <v>363</v>
      </c>
      <c r="E50" s="29" t="s">
        <v>97</v>
      </c>
      <c r="F50" s="30">
        <v>42761</v>
      </c>
      <c r="G50" s="29">
        <v>115527</v>
      </c>
      <c r="H50" s="31">
        <v>63</v>
      </c>
      <c r="I50" s="29" t="s">
        <v>30</v>
      </c>
      <c r="J50" s="29" t="str">
        <f>VLOOKUP(E50,Lookup_Departments!$A$1:$B$7,2,FALSE)</f>
        <v>Human Resources</v>
      </c>
      <c r="K50" s="29" t="str">
        <f>VLOOKUP(H50,Lookup_Performance!$A$1:$D$6,3,TRUE)</f>
        <v>Developing</v>
      </c>
      <c r="L50" s="39">
        <f>VLOOKUP(H50,Lookup_Performance!$A$1:$D$6,4,TRUE)</f>
        <v>0.02</v>
      </c>
      <c r="M50" s="32" t="str">
        <f t="shared" si="0"/>
        <v>2017</v>
      </c>
      <c r="N50" s="31">
        <v>9</v>
      </c>
    </row>
    <row r="51" spans="1:14" x14ac:dyDescent="0.3">
      <c r="A51" s="23" t="s">
        <v>125</v>
      </c>
      <c r="B51" s="24" t="s">
        <v>66</v>
      </c>
      <c r="C51" s="24" t="s">
        <v>32</v>
      </c>
      <c r="D51" s="24" t="s">
        <v>338</v>
      </c>
      <c r="E51" s="24" t="s">
        <v>11</v>
      </c>
      <c r="F51" s="25">
        <v>43981</v>
      </c>
      <c r="G51" s="24">
        <v>55920</v>
      </c>
      <c r="H51" s="26">
        <v>84</v>
      </c>
      <c r="I51" s="24" t="s">
        <v>45</v>
      </c>
      <c r="J51" s="24" t="str">
        <f>VLOOKUP(E51,Lookup_Departments!$A$1:$B$7,2,FALSE)</f>
        <v>Information Technology</v>
      </c>
      <c r="K51" s="24" t="str">
        <f>VLOOKUP(H51,Lookup_Performance!$A$1:$D$6,3,TRUE)</f>
        <v>Achieving</v>
      </c>
      <c r="L51" s="38">
        <f>VLOOKUP(H51,Lookup_Performance!$A$1:$D$6,4,TRUE)</f>
        <v>0.05</v>
      </c>
      <c r="M51" s="27" t="str">
        <f t="shared" si="0"/>
        <v>2020</v>
      </c>
      <c r="N51" s="26">
        <v>6</v>
      </c>
    </row>
    <row r="52" spans="1:14" x14ac:dyDescent="0.3">
      <c r="A52" s="28" t="s">
        <v>127</v>
      </c>
      <c r="B52" s="29" t="s">
        <v>53</v>
      </c>
      <c r="C52" s="29" t="s">
        <v>64</v>
      </c>
      <c r="D52" s="29" t="s">
        <v>350</v>
      </c>
      <c r="E52" s="29" t="s">
        <v>33</v>
      </c>
      <c r="F52" s="30">
        <v>44612</v>
      </c>
      <c r="G52" s="29">
        <v>80189</v>
      </c>
      <c r="H52" s="31">
        <v>30</v>
      </c>
      <c r="I52" s="29" t="s">
        <v>45</v>
      </c>
      <c r="J52" s="29" t="str">
        <f>VLOOKUP(E52,Lookup_Departments!$A$1:$B$7,2,FALSE)</f>
        <v>Operations</v>
      </c>
      <c r="K52" s="29" t="str">
        <f>VLOOKUP(H52,Lookup_Performance!$A$1:$D$6,3,TRUE)</f>
        <v>Needs Improvement</v>
      </c>
      <c r="L52" s="39">
        <f>VLOOKUP(H52,Lookup_Performance!$A$1:$D$6,4,TRUE)</f>
        <v>0</v>
      </c>
      <c r="M52" s="32" t="str">
        <f t="shared" si="0"/>
        <v>2022</v>
      </c>
      <c r="N52" s="31">
        <v>4</v>
      </c>
    </row>
    <row r="53" spans="1:14" x14ac:dyDescent="0.3">
      <c r="A53" s="23" t="s">
        <v>128</v>
      </c>
      <c r="B53" s="24" t="s">
        <v>14</v>
      </c>
      <c r="C53" s="24" t="s">
        <v>64</v>
      </c>
      <c r="D53" s="24" t="s">
        <v>364</v>
      </c>
      <c r="E53" s="24" t="s">
        <v>138</v>
      </c>
      <c r="F53" s="25">
        <v>42628</v>
      </c>
      <c r="G53" s="24">
        <v>118947</v>
      </c>
      <c r="H53" s="26">
        <v>96</v>
      </c>
      <c r="I53" s="24" t="s">
        <v>116</v>
      </c>
      <c r="J53" s="24" t="str">
        <f>VLOOKUP(E53,Lookup_Departments!$A$1:$B$7,2,FALSE)</f>
        <v>Human Resources</v>
      </c>
      <c r="K53" s="24" t="str">
        <f>VLOOKUP(H53,Lookup_Performance!$A$1:$D$6,3,TRUE)</f>
        <v>Outstanding</v>
      </c>
      <c r="L53" s="38">
        <f>VLOOKUP(H53,Lookup_Performance!$A$1:$D$6,4,TRUE)</f>
        <v>0.12</v>
      </c>
      <c r="M53" s="27" t="str">
        <f t="shared" si="0"/>
        <v>2016</v>
      </c>
      <c r="N53" s="26">
        <v>10</v>
      </c>
    </row>
    <row r="54" spans="1:14" x14ac:dyDescent="0.3">
      <c r="A54" s="28" t="s">
        <v>129</v>
      </c>
      <c r="B54" s="29" t="s">
        <v>28</v>
      </c>
      <c r="C54" s="29" t="s">
        <v>41</v>
      </c>
      <c r="D54" s="29" t="s">
        <v>345</v>
      </c>
      <c r="E54" s="29" t="s">
        <v>11</v>
      </c>
      <c r="F54" s="30">
        <v>43745</v>
      </c>
      <c r="G54" s="29">
        <v>82713</v>
      </c>
      <c r="H54" s="31">
        <v>54</v>
      </c>
      <c r="I54" s="29" t="s">
        <v>45</v>
      </c>
      <c r="J54" s="29" t="str">
        <f>VLOOKUP(E54,Lookup_Departments!$A$1:$B$7,2,FALSE)</f>
        <v>Information Technology</v>
      </c>
      <c r="K54" s="29" t="str">
        <f>VLOOKUP(H54,Lookup_Performance!$A$1:$D$6,3,TRUE)</f>
        <v>Developing</v>
      </c>
      <c r="L54" s="39">
        <f>VLOOKUP(H54,Lookup_Performance!$A$1:$D$6,4,TRUE)</f>
        <v>0.02</v>
      </c>
      <c r="M54" s="32" t="str">
        <f t="shared" si="0"/>
        <v>2019</v>
      </c>
      <c r="N54" s="31">
        <v>7</v>
      </c>
    </row>
    <row r="55" spans="1:14" x14ac:dyDescent="0.3">
      <c r="A55" s="23" t="s">
        <v>131</v>
      </c>
      <c r="B55" s="24" t="s">
        <v>9</v>
      </c>
      <c r="C55" s="24" t="s">
        <v>32</v>
      </c>
      <c r="D55" s="24" t="s">
        <v>351</v>
      </c>
      <c r="E55" s="24" t="s">
        <v>48</v>
      </c>
      <c r="F55" s="25">
        <v>43464</v>
      </c>
      <c r="G55" s="24">
        <v>82713</v>
      </c>
      <c r="H55" s="26">
        <v>75</v>
      </c>
      <c r="I55" s="24" t="s">
        <v>45</v>
      </c>
      <c r="J55" s="24" t="str">
        <f>VLOOKUP(E55,Lookup_Departments!$A$1:$B$7,2,FALSE)</f>
        <v>Sales</v>
      </c>
      <c r="K55" s="24" t="str">
        <f>VLOOKUP(H55,Lookup_Performance!$A$1:$D$6,3,TRUE)</f>
        <v>Achieving</v>
      </c>
      <c r="L55" s="38">
        <f>VLOOKUP(H55,Lookup_Performance!$A$1:$D$6,4,TRUE)</f>
        <v>0.05</v>
      </c>
      <c r="M55" s="27" t="str">
        <f t="shared" si="0"/>
        <v>2018</v>
      </c>
      <c r="N55" s="26">
        <v>8</v>
      </c>
    </row>
    <row r="56" spans="1:14" x14ac:dyDescent="0.3">
      <c r="A56" s="28" t="s">
        <v>132</v>
      </c>
      <c r="B56" s="29" t="s">
        <v>9</v>
      </c>
      <c r="C56" s="29" t="s">
        <v>133</v>
      </c>
      <c r="D56" s="29" t="s">
        <v>365</v>
      </c>
      <c r="E56" s="29" t="s">
        <v>97</v>
      </c>
      <c r="F56" s="30">
        <v>44189</v>
      </c>
      <c r="G56" s="29">
        <v>91655</v>
      </c>
      <c r="H56" s="31">
        <v>95</v>
      </c>
      <c r="I56" s="29" t="s">
        <v>45</v>
      </c>
      <c r="J56" s="29" t="str">
        <f>VLOOKUP(E56,Lookup_Departments!$A$1:$B$7,2,FALSE)</f>
        <v>Human Resources</v>
      </c>
      <c r="K56" s="29" t="str">
        <f>VLOOKUP(H56,Lookup_Performance!$A$1:$D$6,3,TRUE)</f>
        <v>Outstanding</v>
      </c>
      <c r="L56" s="39">
        <f>VLOOKUP(H56,Lookup_Performance!$A$1:$D$6,4,TRUE)</f>
        <v>0.12</v>
      </c>
      <c r="M56" s="32" t="str">
        <f t="shared" si="0"/>
        <v>2020</v>
      </c>
      <c r="N56" s="31">
        <v>6</v>
      </c>
    </row>
    <row r="57" spans="1:14" x14ac:dyDescent="0.3">
      <c r="A57" s="23" t="s">
        <v>134</v>
      </c>
      <c r="B57" s="24" t="s">
        <v>53</v>
      </c>
      <c r="C57" s="24" t="s">
        <v>135</v>
      </c>
      <c r="D57" s="24" t="s">
        <v>366</v>
      </c>
      <c r="E57" s="24" t="s">
        <v>33</v>
      </c>
      <c r="F57" s="25">
        <v>45053</v>
      </c>
      <c r="G57" s="24">
        <v>49435</v>
      </c>
      <c r="H57" s="26">
        <v>68.077464788732399</v>
      </c>
      <c r="I57" s="24" t="s">
        <v>45</v>
      </c>
      <c r="J57" s="24" t="str">
        <f>VLOOKUP(E57,Lookup_Departments!$A$1:$B$7,2,FALSE)</f>
        <v>Operations</v>
      </c>
      <c r="K57" s="24" t="str">
        <f>VLOOKUP(H57,Lookup_Performance!$A$1:$D$6,3,TRUE)</f>
        <v>Developing</v>
      </c>
      <c r="L57" s="38">
        <f>VLOOKUP(H57,Lookup_Performance!$A$1:$D$6,4,TRUE)</f>
        <v>0.02</v>
      </c>
      <c r="M57" s="27" t="str">
        <f t="shared" si="0"/>
        <v>2023</v>
      </c>
      <c r="N57" s="26">
        <v>3</v>
      </c>
    </row>
    <row r="58" spans="1:14" x14ac:dyDescent="0.3">
      <c r="A58" s="28" t="s">
        <v>136</v>
      </c>
      <c r="B58" s="29" t="s">
        <v>28</v>
      </c>
      <c r="C58" s="29" t="s">
        <v>133</v>
      </c>
      <c r="D58" s="29" t="s">
        <v>367</v>
      </c>
      <c r="E58" s="29" t="s">
        <v>84</v>
      </c>
      <c r="F58" s="30">
        <v>44148</v>
      </c>
      <c r="G58" s="29">
        <v>110381</v>
      </c>
      <c r="H58" s="31">
        <v>93</v>
      </c>
      <c r="I58" s="29" t="s">
        <v>45</v>
      </c>
      <c r="J58" s="29" t="str">
        <f>VLOOKUP(E58,Lookup_Departments!$A$1:$B$7,2,FALSE)</f>
        <v>Information Technology</v>
      </c>
      <c r="K58" s="29" t="str">
        <f>VLOOKUP(H58,Lookup_Performance!$A$1:$D$6,3,TRUE)</f>
        <v>Exceeding</v>
      </c>
      <c r="L58" s="39">
        <f>VLOOKUP(H58,Lookup_Performance!$A$1:$D$6,4,TRUE)</f>
        <v>0.08</v>
      </c>
      <c r="M58" s="32" t="str">
        <f t="shared" si="0"/>
        <v>2020</v>
      </c>
      <c r="N58" s="31">
        <v>6</v>
      </c>
    </row>
    <row r="59" spans="1:14" x14ac:dyDescent="0.3">
      <c r="A59" s="23" t="s">
        <v>137</v>
      </c>
      <c r="B59" s="24" t="s">
        <v>113</v>
      </c>
      <c r="C59" s="24" t="s">
        <v>25</v>
      </c>
      <c r="D59" s="24" t="s">
        <v>357</v>
      </c>
      <c r="E59" s="24" t="s">
        <v>26</v>
      </c>
      <c r="F59" s="25">
        <v>43138</v>
      </c>
      <c r="G59" s="24">
        <v>114748</v>
      </c>
      <c r="H59" s="26">
        <v>33</v>
      </c>
      <c r="I59" s="24" t="s">
        <v>45</v>
      </c>
      <c r="J59" s="24" t="str">
        <f>VLOOKUP(E59,Lookup_Departments!$A$1:$B$7,2,FALSE)</f>
        <v>Finance</v>
      </c>
      <c r="K59" s="24" t="str">
        <f>VLOOKUP(H59,Lookup_Performance!$A$1:$D$6,3,TRUE)</f>
        <v>Needs Improvement</v>
      </c>
      <c r="L59" s="38">
        <f>VLOOKUP(H59,Lookup_Performance!$A$1:$D$6,4,TRUE)</f>
        <v>0</v>
      </c>
      <c r="M59" s="27" t="str">
        <f t="shared" si="0"/>
        <v>2018</v>
      </c>
      <c r="N59" s="26">
        <v>8</v>
      </c>
    </row>
    <row r="60" spans="1:14" x14ac:dyDescent="0.3">
      <c r="A60" s="28" t="s">
        <v>140</v>
      </c>
      <c r="B60" s="29" t="s">
        <v>9</v>
      </c>
      <c r="C60" s="29" t="s">
        <v>10</v>
      </c>
      <c r="D60" s="29" t="s">
        <v>368</v>
      </c>
      <c r="E60" s="29" t="s">
        <v>33</v>
      </c>
      <c r="F60" s="30">
        <v>45255</v>
      </c>
      <c r="G60" s="29">
        <v>63302</v>
      </c>
      <c r="H60" s="31">
        <v>91</v>
      </c>
      <c r="I60" s="29" t="s">
        <v>30</v>
      </c>
      <c r="J60" s="29" t="str">
        <f>VLOOKUP(E60,Lookup_Departments!$A$1:$B$7,2,FALSE)</f>
        <v>Operations</v>
      </c>
      <c r="K60" s="29" t="str">
        <f>VLOOKUP(H60,Lookup_Performance!$A$1:$D$6,3,TRUE)</f>
        <v>Exceeding</v>
      </c>
      <c r="L60" s="39">
        <f>VLOOKUP(H60,Lookup_Performance!$A$1:$D$6,4,TRUE)</f>
        <v>0.08</v>
      </c>
      <c r="M60" s="32" t="str">
        <f t="shared" si="0"/>
        <v>2023</v>
      </c>
      <c r="N60" s="31">
        <v>3</v>
      </c>
    </row>
    <row r="61" spans="1:14" x14ac:dyDescent="0.3">
      <c r="A61" s="23" t="s">
        <v>141</v>
      </c>
      <c r="B61" s="24" t="s">
        <v>9</v>
      </c>
      <c r="C61" s="24" t="s">
        <v>36</v>
      </c>
      <c r="D61" s="24" t="s">
        <v>332</v>
      </c>
      <c r="E61" s="24" t="s">
        <v>16</v>
      </c>
      <c r="F61" s="25">
        <v>45217</v>
      </c>
      <c r="G61" s="24">
        <v>75519</v>
      </c>
      <c r="H61" s="26">
        <v>64</v>
      </c>
      <c r="I61" s="24" t="s">
        <v>45</v>
      </c>
      <c r="J61" s="24" t="str">
        <f>VLOOKUP(E61,Lookup_Departments!$A$1:$B$7,2,FALSE)</f>
        <v>Marketing</v>
      </c>
      <c r="K61" s="24" t="str">
        <f>VLOOKUP(H61,Lookup_Performance!$A$1:$D$6,3,TRUE)</f>
        <v>Developing</v>
      </c>
      <c r="L61" s="38">
        <f>VLOOKUP(H61,Lookup_Performance!$A$1:$D$6,4,TRUE)</f>
        <v>0.02</v>
      </c>
      <c r="M61" s="27" t="str">
        <f t="shared" si="0"/>
        <v>2023</v>
      </c>
      <c r="N61" s="26">
        <v>3</v>
      </c>
    </row>
    <row r="62" spans="1:14" x14ac:dyDescent="0.3">
      <c r="A62" s="28" t="s">
        <v>142</v>
      </c>
      <c r="B62" s="29" t="s">
        <v>43</v>
      </c>
      <c r="C62" s="29" t="s">
        <v>135</v>
      </c>
      <c r="D62" s="29" t="s">
        <v>369</v>
      </c>
      <c r="E62" s="29" t="s">
        <v>44</v>
      </c>
      <c r="F62" s="30">
        <v>43960</v>
      </c>
      <c r="G62" s="29">
        <v>103891</v>
      </c>
      <c r="H62" s="31">
        <v>80</v>
      </c>
      <c r="I62" s="29" t="s">
        <v>45</v>
      </c>
      <c r="J62" s="29" t="str">
        <f>VLOOKUP(E62,Lookup_Departments!$A$1:$B$7,2,FALSE)</f>
        <v>Sales</v>
      </c>
      <c r="K62" s="29" t="str">
        <f>VLOOKUP(H62,Lookup_Performance!$A$1:$D$6,3,TRUE)</f>
        <v>Achieving</v>
      </c>
      <c r="L62" s="39">
        <f>VLOOKUP(H62,Lookup_Performance!$A$1:$D$6,4,TRUE)</f>
        <v>0.05</v>
      </c>
      <c r="M62" s="32" t="str">
        <f t="shared" si="0"/>
        <v>2020</v>
      </c>
      <c r="N62" s="31">
        <v>6</v>
      </c>
    </row>
    <row r="63" spans="1:14" x14ac:dyDescent="0.3">
      <c r="A63" s="23" t="s">
        <v>143</v>
      </c>
      <c r="B63" s="24" t="s">
        <v>59</v>
      </c>
      <c r="C63" s="24" t="s">
        <v>32</v>
      </c>
      <c r="D63" s="24" t="s">
        <v>370</v>
      </c>
      <c r="E63" s="24" t="s">
        <v>97</v>
      </c>
      <c r="F63" s="25">
        <v>42889</v>
      </c>
      <c r="G63" s="24">
        <v>82713</v>
      </c>
      <c r="H63" s="26">
        <v>46</v>
      </c>
      <c r="I63" s="24" t="s">
        <v>45</v>
      </c>
      <c r="J63" s="24" t="str">
        <f>VLOOKUP(E63,Lookup_Departments!$A$1:$B$7,2,FALSE)</f>
        <v>Human Resources</v>
      </c>
      <c r="K63" s="24" t="str">
        <f>VLOOKUP(H63,Lookup_Performance!$A$1:$D$6,3,TRUE)</f>
        <v>Needs Improvement</v>
      </c>
      <c r="L63" s="38">
        <f>VLOOKUP(H63,Lookup_Performance!$A$1:$D$6,4,TRUE)</f>
        <v>0</v>
      </c>
      <c r="M63" s="27" t="str">
        <f t="shared" si="0"/>
        <v>2017</v>
      </c>
      <c r="N63" s="26">
        <v>9</v>
      </c>
    </row>
    <row r="64" spans="1:14" x14ac:dyDescent="0.3">
      <c r="A64" s="28" t="s">
        <v>144</v>
      </c>
      <c r="B64" s="29" t="s">
        <v>59</v>
      </c>
      <c r="C64" s="29" t="s">
        <v>47</v>
      </c>
      <c r="D64" s="29" t="s">
        <v>371</v>
      </c>
      <c r="E64" s="29" t="s">
        <v>97</v>
      </c>
      <c r="F64" s="30">
        <v>42122</v>
      </c>
      <c r="G64" s="29">
        <v>50936</v>
      </c>
      <c r="H64" s="31">
        <v>99</v>
      </c>
      <c r="I64" s="29" t="s">
        <v>45</v>
      </c>
      <c r="J64" s="29" t="str">
        <f>VLOOKUP(E64,Lookup_Departments!$A$1:$B$7,2,FALSE)</f>
        <v>Human Resources</v>
      </c>
      <c r="K64" s="29" t="str">
        <f>VLOOKUP(H64,Lookup_Performance!$A$1:$D$6,3,TRUE)</f>
        <v>Outstanding</v>
      </c>
      <c r="L64" s="39">
        <f>VLOOKUP(H64,Lookup_Performance!$A$1:$D$6,4,TRUE)</f>
        <v>0.12</v>
      </c>
      <c r="M64" s="32" t="str">
        <f t="shared" si="0"/>
        <v>2015</v>
      </c>
      <c r="N64" s="31">
        <v>11</v>
      </c>
    </row>
    <row r="65" spans="1:14" x14ac:dyDescent="0.3">
      <c r="A65" s="23" t="s">
        <v>146</v>
      </c>
      <c r="B65" s="24" t="s">
        <v>53</v>
      </c>
      <c r="C65" s="24" t="s">
        <v>64</v>
      </c>
      <c r="D65" s="24" t="s">
        <v>350</v>
      </c>
      <c r="E65" s="24" t="s">
        <v>97</v>
      </c>
      <c r="F65" s="25">
        <v>42838</v>
      </c>
      <c r="G65" s="24">
        <v>111240</v>
      </c>
      <c r="H65" s="26">
        <v>68.077464788732399</v>
      </c>
      <c r="I65" s="24" t="s">
        <v>45</v>
      </c>
      <c r="J65" s="24" t="str">
        <f>VLOOKUP(E65,Lookup_Departments!$A$1:$B$7,2,FALSE)</f>
        <v>Human Resources</v>
      </c>
      <c r="K65" s="24" t="str">
        <f>VLOOKUP(H65,Lookup_Performance!$A$1:$D$6,3,TRUE)</f>
        <v>Developing</v>
      </c>
      <c r="L65" s="38">
        <f>VLOOKUP(H65,Lookup_Performance!$A$1:$D$6,4,TRUE)</f>
        <v>0.02</v>
      </c>
      <c r="M65" s="27" t="str">
        <f t="shared" si="0"/>
        <v>2017</v>
      </c>
      <c r="N65" s="26">
        <v>9</v>
      </c>
    </row>
    <row r="66" spans="1:14" x14ac:dyDescent="0.3">
      <c r="A66" s="28" t="s">
        <v>147</v>
      </c>
      <c r="B66" s="29" t="s">
        <v>28</v>
      </c>
      <c r="C66" s="29" t="s">
        <v>64</v>
      </c>
      <c r="D66" s="29" t="s">
        <v>372</v>
      </c>
      <c r="E66" s="29" t="s">
        <v>44</v>
      </c>
      <c r="F66" s="30">
        <v>44827</v>
      </c>
      <c r="G66" s="29">
        <v>51567</v>
      </c>
      <c r="H66" s="31">
        <v>87</v>
      </c>
      <c r="I66" s="29" t="s">
        <v>30</v>
      </c>
      <c r="J66" s="29" t="str">
        <f>VLOOKUP(E66,Lookup_Departments!$A$1:$B$7,2,FALSE)</f>
        <v>Sales</v>
      </c>
      <c r="K66" s="29" t="str">
        <f>VLOOKUP(H66,Lookup_Performance!$A$1:$D$6,3,TRUE)</f>
        <v>Exceeding</v>
      </c>
      <c r="L66" s="39">
        <f>VLOOKUP(H66,Lookup_Performance!$A$1:$D$6,4,TRUE)</f>
        <v>0.08</v>
      </c>
      <c r="M66" s="32" t="str">
        <f t="shared" si="0"/>
        <v>2022</v>
      </c>
      <c r="N66" s="31">
        <v>4</v>
      </c>
    </row>
    <row r="67" spans="1:14" x14ac:dyDescent="0.3">
      <c r="A67" s="23" t="s">
        <v>148</v>
      </c>
      <c r="B67" s="24" t="s">
        <v>28</v>
      </c>
      <c r="C67" s="24" t="s">
        <v>60</v>
      </c>
      <c r="D67" s="24" t="s">
        <v>345</v>
      </c>
      <c r="E67" s="24" t="s">
        <v>44</v>
      </c>
      <c r="F67" s="25">
        <v>42685</v>
      </c>
      <c r="G67" s="24">
        <v>82713</v>
      </c>
      <c r="H67" s="26">
        <v>36</v>
      </c>
      <c r="I67" s="24" t="s">
        <v>45</v>
      </c>
      <c r="J67" s="24" t="str">
        <f>VLOOKUP(E67,Lookup_Departments!$A$1:$B$7,2,FALSE)</f>
        <v>Sales</v>
      </c>
      <c r="K67" s="24" t="str">
        <f>VLOOKUP(H67,Lookup_Performance!$A$1:$D$6,3,TRUE)</f>
        <v>Needs Improvement</v>
      </c>
      <c r="L67" s="38">
        <f>VLOOKUP(H67,Lookup_Performance!$A$1:$D$6,4,TRUE)</f>
        <v>0</v>
      </c>
      <c r="M67" s="27" t="str">
        <f t="shared" ref="M67:M130" si="1">TEXT(F67, "yyyy")</f>
        <v>2016</v>
      </c>
      <c r="N67" s="26">
        <v>10</v>
      </c>
    </row>
    <row r="68" spans="1:14" x14ac:dyDescent="0.3">
      <c r="A68" s="28" t="s">
        <v>151</v>
      </c>
      <c r="B68" s="29" t="s">
        <v>43</v>
      </c>
      <c r="C68" s="29" t="s">
        <v>47</v>
      </c>
      <c r="D68" s="29" t="s">
        <v>373</v>
      </c>
      <c r="E68" s="29" t="s">
        <v>48</v>
      </c>
      <c r="F68" s="30">
        <v>42818</v>
      </c>
      <c r="G68" s="29">
        <v>55270</v>
      </c>
      <c r="H68" s="31">
        <v>87</v>
      </c>
      <c r="I68" s="29" t="s">
        <v>45</v>
      </c>
      <c r="J68" s="29" t="str">
        <f>VLOOKUP(E68,Lookup_Departments!$A$1:$B$7,2,FALSE)</f>
        <v>Sales</v>
      </c>
      <c r="K68" s="29" t="str">
        <f>VLOOKUP(H68,Lookup_Performance!$A$1:$D$6,3,TRUE)</f>
        <v>Exceeding</v>
      </c>
      <c r="L68" s="39">
        <f>VLOOKUP(H68,Lookup_Performance!$A$1:$D$6,4,TRUE)</f>
        <v>0.08</v>
      </c>
      <c r="M68" s="32" t="str">
        <f t="shared" si="1"/>
        <v>2017</v>
      </c>
      <c r="N68" s="31">
        <v>9</v>
      </c>
    </row>
    <row r="69" spans="1:14" x14ac:dyDescent="0.3">
      <c r="A69" s="23" t="s">
        <v>154</v>
      </c>
      <c r="B69" s="24" t="s">
        <v>14</v>
      </c>
      <c r="C69" s="24" t="s">
        <v>19</v>
      </c>
      <c r="D69" s="24" t="s">
        <v>374</v>
      </c>
      <c r="E69" s="24" t="s">
        <v>44</v>
      </c>
      <c r="F69" s="25">
        <v>43590</v>
      </c>
      <c r="G69" s="24">
        <v>65235</v>
      </c>
      <c r="H69" s="26">
        <v>97</v>
      </c>
      <c r="I69" s="24" t="s">
        <v>116</v>
      </c>
      <c r="J69" s="24" t="str">
        <f>VLOOKUP(E69,Lookup_Departments!$A$1:$B$7,2,FALSE)</f>
        <v>Sales</v>
      </c>
      <c r="K69" s="24" t="str">
        <f>VLOOKUP(H69,Lookup_Performance!$A$1:$D$6,3,TRUE)</f>
        <v>Outstanding</v>
      </c>
      <c r="L69" s="38">
        <f>VLOOKUP(H69,Lookup_Performance!$A$1:$D$6,4,TRUE)</f>
        <v>0.12</v>
      </c>
      <c r="M69" s="27" t="str">
        <f t="shared" si="1"/>
        <v>2019</v>
      </c>
      <c r="N69" s="26">
        <v>7</v>
      </c>
    </row>
    <row r="70" spans="1:14" x14ac:dyDescent="0.3">
      <c r="A70" s="28" t="s">
        <v>156</v>
      </c>
      <c r="B70" s="29" t="s">
        <v>105</v>
      </c>
      <c r="C70" s="29" t="s">
        <v>54</v>
      </c>
      <c r="D70" s="29" t="s">
        <v>375</v>
      </c>
      <c r="E70" s="29" t="s">
        <v>165</v>
      </c>
      <c r="F70" s="30">
        <v>44402</v>
      </c>
      <c r="G70" s="29">
        <v>82713</v>
      </c>
      <c r="H70" s="31">
        <v>72</v>
      </c>
      <c r="I70" s="29" t="s">
        <v>45</v>
      </c>
      <c r="J70" s="29" t="str">
        <f>VLOOKUP(E70,Lookup_Departments!$A$1:$B$7,2,FALSE)</f>
        <v>Operations</v>
      </c>
      <c r="K70" s="29" t="str">
        <f>VLOOKUP(H70,Lookup_Performance!$A$1:$D$6,3,TRUE)</f>
        <v>Achieving</v>
      </c>
      <c r="L70" s="39">
        <f>VLOOKUP(H70,Lookup_Performance!$A$1:$D$6,4,TRUE)</f>
        <v>0.05</v>
      </c>
      <c r="M70" s="32" t="str">
        <f t="shared" si="1"/>
        <v>2021</v>
      </c>
      <c r="N70" s="31">
        <v>5</v>
      </c>
    </row>
    <row r="71" spans="1:14" x14ac:dyDescent="0.3">
      <c r="A71" s="23" t="s">
        <v>158</v>
      </c>
      <c r="B71" s="24" t="s">
        <v>59</v>
      </c>
      <c r="C71" s="24" t="s">
        <v>47</v>
      </c>
      <c r="D71" s="24" t="s">
        <v>370</v>
      </c>
      <c r="E71" s="24" t="s">
        <v>26</v>
      </c>
      <c r="F71" s="25">
        <v>43008</v>
      </c>
      <c r="G71" s="24">
        <v>82713</v>
      </c>
      <c r="H71" s="26">
        <v>65</v>
      </c>
      <c r="I71" s="24" t="s">
        <v>45</v>
      </c>
      <c r="J71" s="24" t="str">
        <f>VLOOKUP(E71,Lookup_Departments!$A$1:$B$7,2,FALSE)</f>
        <v>Finance</v>
      </c>
      <c r="K71" s="24" t="str">
        <f>VLOOKUP(H71,Lookup_Performance!$A$1:$D$6,3,TRUE)</f>
        <v>Developing</v>
      </c>
      <c r="L71" s="38">
        <f>VLOOKUP(H71,Lookup_Performance!$A$1:$D$6,4,TRUE)</f>
        <v>0.02</v>
      </c>
      <c r="M71" s="27" t="str">
        <f t="shared" si="1"/>
        <v>2017</v>
      </c>
      <c r="N71" s="26">
        <v>9</v>
      </c>
    </row>
    <row r="72" spans="1:14" x14ac:dyDescent="0.3">
      <c r="A72" s="28" t="s">
        <v>159</v>
      </c>
      <c r="B72" s="29" t="s">
        <v>160</v>
      </c>
      <c r="C72" s="29" t="s">
        <v>133</v>
      </c>
      <c r="D72" s="29" t="s">
        <v>376</v>
      </c>
      <c r="E72" s="29" t="s">
        <v>11</v>
      </c>
      <c r="F72" s="30">
        <v>42192</v>
      </c>
      <c r="G72" s="29">
        <v>82713</v>
      </c>
      <c r="H72" s="31">
        <v>67</v>
      </c>
      <c r="I72" s="29" t="s">
        <v>45</v>
      </c>
      <c r="J72" s="29" t="str">
        <f>VLOOKUP(E72,Lookup_Departments!$A$1:$B$7,2,FALSE)</f>
        <v>Information Technology</v>
      </c>
      <c r="K72" s="29" t="str">
        <f>VLOOKUP(H72,Lookup_Performance!$A$1:$D$6,3,TRUE)</f>
        <v>Developing</v>
      </c>
      <c r="L72" s="39">
        <f>VLOOKUP(H72,Lookup_Performance!$A$1:$D$6,4,TRUE)</f>
        <v>0.02</v>
      </c>
      <c r="M72" s="32" t="str">
        <f t="shared" si="1"/>
        <v>2015</v>
      </c>
      <c r="N72" s="31">
        <v>11</v>
      </c>
    </row>
    <row r="73" spans="1:14" x14ac:dyDescent="0.3">
      <c r="A73" s="23" t="s">
        <v>161</v>
      </c>
      <c r="B73" s="24" t="s">
        <v>24</v>
      </c>
      <c r="C73" s="24" t="s">
        <v>19</v>
      </c>
      <c r="D73" s="24" t="s">
        <v>377</v>
      </c>
      <c r="E73" s="24" t="s">
        <v>44</v>
      </c>
      <c r="F73" s="25">
        <v>43138</v>
      </c>
      <c r="G73" s="24">
        <v>48823</v>
      </c>
      <c r="H73" s="26">
        <v>34</v>
      </c>
      <c r="I73" s="24" t="s">
        <v>30</v>
      </c>
      <c r="J73" s="24" t="str">
        <f>VLOOKUP(E73,Lookup_Departments!$A$1:$B$7,2,FALSE)</f>
        <v>Sales</v>
      </c>
      <c r="K73" s="24" t="str">
        <f>VLOOKUP(H73,Lookup_Performance!$A$1:$D$6,3,TRUE)</f>
        <v>Needs Improvement</v>
      </c>
      <c r="L73" s="38">
        <f>VLOOKUP(H73,Lookup_Performance!$A$1:$D$6,4,TRUE)</f>
        <v>0</v>
      </c>
      <c r="M73" s="27" t="str">
        <f t="shared" si="1"/>
        <v>2018</v>
      </c>
      <c r="N73" s="26">
        <v>8</v>
      </c>
    </row>
    <row r="74" spans="1:14" x14ac:dyDescent="0.3">
      <c r="A74" s="28" t="s">
        <v>162</v>
      </c>
      <c r="B74" s="29" t="s">
        <v>66</v>
      </c>
      <c r="C74" s="29" t="s">
        <v>19</v>
      </c>
      <c r="D74" s="29" t="s">
        <v>378</v>
      </c>
      <c r="E74" s="29" t="s">
        <v>16</v>
      </c>
      <c r="F74" s="30">
        <v>44819</v>
      </c>
      <c r="G74" s="29">
        <v>45196</v>
      </c>
      <c r="H74" s="31">
        <v>78</v>
      </c>
      <c r="I74" s="29" t="s">
        <v>30</v>
      </c>
      <c r="J74" s="29" t="str">
        <f>VLOOKUP(E74,Lookup_Departments!$A$1:$B$7,2,FALSE)</f>
        <v>Marketing</v>
      </c>
      <c r="K74" s="29" t="str">
        <f>VLOOKUP(H74,Lookup_Performance!$A$1:$D$6,3,TRUE)</f>
        <v>Achieving</v>
      </c>
      <c r="L74" s="39">
        <f>VLOOKUP(H74,Lookup_Performance!$A$1:$D$6,4,TRUE)</f>
        <v>0.05</v>
      </c>
      <c r="M74" s="32" t="str">
        <f t="shared" si="1"/>
        <v>2022</v>
      </c>
      <c r="N74" s="31">
        <v>4</v>
      </c>
    </row>
    <row r="75" spans="1:14" x14ac:dyDescent="0.3">
      <c r="A75" s="23" t="s">
        <v>163</v>
      </c>
      <c r="B75" s="24" t="s">
        <v>53</v>
      </c>
      <c r="C75" s="24" t="s">
        <v>19</v>
      </c>
      <c r="D75" s="24" t="s">
        <v>379</v>
      </c>
      <c r="E75" s="24" t="s">
        <v>33</v>
      </c>
      <c r="F75" s="25">
        <v>42044</v>
      </c>
      <c r="G75" s="24">
        <v>86246</v>
      </c>
      <c r="H75" s="26">
        <v>61</v>
      </c>
      <c r="I75" s="24" t="s">
        <v>45</v>
      </c>
      <c r="J75" s="24" t="str">
        <f>VLOOKUP(E75,Lookup_Departments!$A$1:$B$7,2,FALSE)</f>
        <v>Operations</v>
      </c>
      <c r="K75" s="24" t="str">
        <f>VLOOKUP(H75,Lookup_Performance!$A$1:$D$6,3,TRUE)</f>
        <v>Developing</v>
      </c>
      <c r="L75" s="38">
        <f>VLOOKUP(H75,Lookup_Performance!$A$1:$D$6,4,TRUE)</f>
        <v>0.02</v>
      </c>
      <c r="M75" s="27" t="str">
        <f t="shared" si="1"/>
        <v>2015</v>
      </c>
      <c r="N75" s="26">
        <v>11</v>
      </c>
    </row>
    <row r="76" spans="1:14" x14ac:dyDescent="0.3">
      <c r="A76" s="28" t="s">
        <v>164</v>
      </c>
      <c r="B76" s="29" t="s">
        <v>113</v>
      </c>
      <c r="C76" s="29" t="s">
        <v>36</v>
      </c>
      <c r="D76" s="29" t="s">
        <v>380</v>
      </c>
      <c r="E76" s="29" t="s">
        <v>138</v>
      </c>
      <c r="F76" s="30">
        <v>42684</v>
      </c>
      <c r="G76" s="29">
        <v>70359</v>
      </c>
      <c r="H76" s="31">
        <v>74</v>
      </c>
      <c r="I76" s="29" t="s">
        <v>45</v>
      </c>
      <c r="J76" s="29" t="str">
        <f>VLOOKUP(E76,Lookup_Departments!$A$1:$B$7,2,FALSE)</f>
        <v>Human Resources</v>
      </c>
      <c r="K76" s="29" t="str">
        <f>VLOOKUP(H76,Lookup_Performance!$A$1:$D$6,3,TRUE)</f>
        <v>Achieving</v>
      </c>
      <c r="L76" s="39">
        <f>VLOOKUP(H76,Lookup_Performance!$A$1:$D$6,4,TRUE)</f>
        <v>0.05</v>
      </c>
      <c r="M76" s="32" t="str">
        <f t="shared" si="1"/>
        <v>2016</v>
      </c>
      <c r="N76" s="31">
        <v>10</v>
      </c>
    </row>
    <row r="77" spans="1:14" x14ac:dyDescent="0.3">
      <c r="A77" s="23" t="s">
        <v>167</v>
      </c>
      <c r="B77" s="24" t="s">
        <v>53</v>
      </c>
      <c r="C77" s="24" t="s">
        <v>19</v>
      </c>
      <c r="D77" s="24" t="s">
        <v>381</v>
      </c>
      <c r="E77" s="24" t="s">
        <v>11</v>
      </c>
      <c r="F77" s="25">
        <v>43575</v>
      </c>
      <c r="G77" s="24">
        <v>82713</v>
      </c>
      <c r="H77" s="26">
        <v>94</v>
      </c>
      <c r="I77" s="24" t="s">
        <v>30</v>
      </c>
      <c r="J77" s="24" t="str">
        <f>VLOOKUP(E77,Lookup_Departments!$A$1:$B$7,2,FALSE)</f>
        <v>Information Technology</v>
      </c>
      <c r="K77" s="24" t="str">
        <f>VLOOKUP(H77,Lookup_Performance!$A$1:$D$6,3,TRUE)</f>
        <v>Exceeding</v>
      </c>
      <c r="L77" s="38">
        <f>VLOOKUP(H77,Lookup_Performance!$A$1:$D$6,4,TRUE)</f>
        <v>0.08</v>
      </c>
      <c r="M77" s="27" t="str">
        <f t="shared" si="1"/>
        <v>2019</v>
      </c>
      <c r="N77" s="26">
        <v>7</v>
      </c>
    </row>
    <row r="78" spans="1:14" x14ac:dyDescent="0.3">
      <c r="A78" s="28" t="s">
        <v>168</v>
      </c>
      <c r="B78" s="29" t="s">
        <v>53</v>
      </c>
      <c r="C78" s="29" t="s">
        <v>41</v>
      </c>
      <c r="D78" s="29" t="s">
        <v>366</v>
      </c>
      <c r="E78" s="29" t="s">
        <v>26</v>
      </c>
      <c r="F78" s="30">
        <v>42785</v>
      </c>
      <c r="G78" s="29">
        <v>86480</v>
      </c>
      <c r="H78" s="31">
        <v>68.077464788732399</v>
      </c>
      <c r="I78" s="29" t="s">
        <v>45</v>
      </c>
      <c r="J78" s="29" t="str">
        <f>VLOOKUP(E78,Lookup_Departments!$A$1:$B$7,2,FALSE)</f>
        <v>Finance</v>
      </c>
      <c r="K78" s="29" t="str">
        <f>VLOOKUP(H78,Lookup_Performance!$A$1:$D$6,3,TRUE)</f>
        <v>Developing</v>
      </c>
      <c r="L78" s="39">
        <f>VLOOKUP(H78,Lookup_Performance!$A$1:$D$6,4,TRUE)</f>
        <v>0.02</v>
      </c>
      <c r="M78" s="32" t="str">
        <f t="shared" si="1"/>
        <v>2017</v>
      </c>
      <c r="N78" s="31">
        <v>9</v>
      </c>
    </row>
    <row r="79" spans="1:14" x14ac:dyDescent="0.3">
      <c r="A79" s="23" t="s">
        <v>171</v>
      </c>
      <c r="B79" s="24" t="s">
        <v>9</v>
      </c>
      <c r="C79" s="24" t="s">
        <v>47</v>
      </c>
      <c r="D79" s="24" t="s">
        <v>382</v>
      </c>
      <c r="E79" s="24" t="s">
        <v>26</v>
      </c>
      <c r="F79" s="25">
        <v>44446</v>
      </c>
      <c r="G79" s="24">
        <v>47694</v>
      </c>
      <c r="H79" s="26">
        <v>75</v>
      </c>
      <c r="I79" s="24" t="s">
        <v>30</v>
      </c>
      <c r="J79" s="24" t="str">
        <f>VLOOKUP(E79,Lookup_Departments!$A$1:$B$7,2,FALSE)</f>
        <v>Finance</v>
      </c>
      <c r="K79" s="24" t="str">
        <f>VLOOKUP(H79,Lookup_Performance!$A$1:$D$6,3,TRUE)</f>
        <v>Achieving</v>
      </c>
      <c r="L79" s="38">
        <f>VLOOKUP(H79,Lookup_Performance!$A$1:$D$6,4,TRUE)</f>
        <v>0.05</v>
      </c>
      <c r="M79" s="27" t="str">
        <f t="shared" si="1"/>
        <v>2021</v>
      </c>
      <c r="N79" s="26">
        <v>5</v>
      </c>
    </row>
    <row r="80" spans="1:14" x14ac:dyDescent="0.3">
      <c r="A80" s="28" t="s">
        <v>173</v>
      </c>
      <c r="B80" s="29" t="s">
        <v>94</v>
      </c>
      <c r="C80" s="29" t="s">
        <v>47</v>
      </c>
      <c r="D80" s="29" t="s">
        <v>383</v>
      </c>
      <c r="E80" s="29" t="s">
        <v>84</v>
      </c>
      <c r="F80" s="30">
        <v>43599</v>
      </c>
      <c r="G80" s="29">
        <v>83724</v>
      </c>
      <c r="H80" s="31">
        <v>81</v>
      </c>
      <c r="I80" s="29" t="s">
        <v>45</v>
      </c>
      <c r="J80" s="29" t="str">
        <f>VLOOKUP(E80,Lookup_Departments!$A$1:$B$7,2,FALSE)</f>
        <v>Information Technology</v>
      </c>
      <c r="K80" s="29" t="str">
        <f>VLOOKUP(H80,Lookup_Performance!$A$1:$D$6,3,TRUE)</f>
        <v>Achieving</v>
      </c>
      <c r="L80" s="39">
        <f>VLOOKUP(H80,Lookup_Performance!$A$1:$D$6,4,TRUE)</f>
        <v>0.05</v>
      </c>
      <c r="M80" s="32" t="str">
        <f t="shared" si="1"/>
        <v>2019</v>
      </c>
      <c r="N80" s="31">
        <v>7</v>
      </c>
    </row>
    <row r="81" spans="1:14" x14ac:dyDescent="0.3">
      <c r="A81" s="23" t="s">
        <v>174</v>
      </c>
      <c r="B81" s="24" t="s">
        <v>39</v>
      </c>
      <c r="C81" s="24" t="s">
        <v>133</v>
      </c>
      <c r="D81" s="24" t="s">
        <v>384</v>
      </c>
      <c r="E81" s="24" t="s">
        <v>11</v>
      </c>
      <c r="F81" s="25">
        <v>42330</v>
      </c>
      <c r="G81" s="24">
        <v>98299</v>
      </c>
      <c r="H81" s="26">
        <v>61</v>
      </c>
      <c r="I81" s="24" t="s">
        <v>45</v>
      </c>
      <c r="J81" s="24" t="str">
        <f>VLOOKUP(E81,Lookup_Departments!$A$1:$B$7,2,FALSE)</f>
        <v>Information Technology</v>
      </c>
      <c r="K81" s="24" t="str">
        <f>VLOOKUP(H81,Lookup_Performance!$A$1:$D$6,3,TRUE)</f>
        <v>Developing</v>
      </c>
      <c r="L81" s="38">
        <f>VLOOKUP(H81,Lookup_Performance!$A$1:$D$6,4,TRUE)</f>
        <v>0.02</v>
      </c>
      <c r="M81" s="27" t="str">
        <f t="shared" si="1"/>
        <v>2015</v>
      </c>
      <c r="N81" s="26">
        <v>11</v>
      </c>
    </row>
    <row r="82" spans="1:14" x14ac:dyDescent="0.3">
      <c r="A82" s="28" t="s">
        <v>175</v>
      </c>
      <c r="B82" s="29" t="s">
        <v>14</v>
      </c>
      <c r="C82" s="29" t="s">
        <v>29</v>
      </c>
      <c r="D82" s="29" t="s">
        <v>385</v>
      </c>
      <c r="E82" s="29" t="s">
        <v>33</v>
      </c>
      <c r="F82" s="30">
        <v>43372</v>
      </c>
      <c r="G82" s="29">
        <v>82713</v>
      </c>
      <c r="H82" s="31">
        <v>68</v>
      </c>
      <c r="I82" s="29" t="s">
        <v>45</v>
      </c>
      <c r="J82" s="29" t="str">
        <f>VLOOKUP(E82,Lookup_Departments!$A$1:$B$7,2,FALSE)</f>
        <v>Operations</v>
      </c>
      <c r="K82" s="29" t="str">
        <f>VLOOKUP(H82,Lookup_Performance!$A$1:$D$6,3,TRUE)</f>
        <v>Developing</v>
      </c>
      <c r="L82" s="39">
        <f>VLOOKUP(H82,Lookup_Performance!$A$1:$D$6,4,TRUE)</f>
        <v>0.02</v>
      </c>
      <c r="M82" s="32" t="str">
        <f t="shared" si="1"/>
        <v>2018</v>
      </c>
      <c r="N82" s="31">
        <v>8</v>
      </c>
    </row>
    <row r="83" spans="1:14" x14ac:dyDescent="0.3">
      <c r="A83" s="23" t="s">
        <v>178</v>
      </c>
      <c r="B83" s="24" t="s">
        <v>105</v>
      </c>
      <c r="C83" s="24" t="s">
        <v>36</v>
      </c>
      <c r="D83" s="24" t="s">
        <v>386</v>
      </c>
      <c r="E83" s="24" t="s">
        <v>138</v>
      </c>
      <c r="F83" s="25">
        <v>44966</v>
      </c>
      <c r="G83" s="24">
        <v>52287</v>
      </c>
      <c r="H83" s="26">
        <v>70</v>
      </c>
      <c r="I83" s="24" t="s">
        <v>116</v>
      </c>
      <c r="J83" s="24" t="str">
        <f>VLOOKUP(E83,Lookup_Departments!$A$1:$B$7,2,FALSE)</f>
        <v>Human Resources</v>
      </c>
      <c r="K83" s="24" t="str">
        <f>VLOOKUP(H83,Lookup_Performance!$A$1:$D$6,3,TRUE)</f>
        <v>Achieving</v>
      </c>
      <c r="L83" s="38">
        <f>VLOOKUP(H83,Lookup_Performance!$A$1:$D$6,4,TRUE)</f>
        <v>0.05</v>
      </c>
      <c r="M83" s="27" t="str">
        <f t="shared" si="1"/>
        <v>2023</v>
      </c>
      <c r="N83" s="26">
        <v>3</v>
      </c>
    </row>
    <row r="84" spans="1:14" x14ac:dyDescent="0.3">
      <c r="A84" s="28" t="s">
        <v>179</v>
      </c>
      <c r="B84" s="29" t="s">
        <v>28</v>
      </c>
      <c r="C84" s="29" t="s">
        <v>54</v>
      </c>
      <c r="D84" s="29" t="s">
        <v>387</v>
      </c>
      <c r="E84" s="29" t="s">
        <v>84</v>
      </c>
      <c r="F84" s="30">
        <v>44759</v>
      </c>
      <c r="G84" s="29">
        <v>82633</v>
      </c>
      <c r="H84" s="31">
        <v>98</v>
      </c>
      <c r="I84" s="29" t="s">
        <v>45</v>
      </c>
      <c r="J84" s="29" t="str">
        <f>VLOOKUP(E84,Lookup_Departments!$A$1:$B$7,2,FALSE)</f>
        <v>Information Technology</v>
      </c>
      <c r="K84" s="29" t="str">
        <f>VLOOKUP(H84,Lookup_Performance!$A$1:$D$6,3,TRUE)</f>
        <v>Outstanding</v>
      </c>
      <c r="L84" s="39">
        <f>VLOOKUP(H84,Lookup_Performance!$A$1:$D$6,4,TRUE)</f>
        <v>0.12</v>
      </c>
      <c r="M84" s="32" t="str">
        <f t="shared" si="1"/>
        <v>2022</v>
      </c>
      <c r="N84" s="31">
        <v>4</v>
      </c>
    </row>
    <row r="85" spans="1:14" x14ac:dyDescent="0.3">
      <c r="A85" s="23" t="s">
        <v>180</v>
      </c>
      <c r="B85" s="24" t="s">
        <v>113</v>
      </c>
      <c r="C85" s="24" t="s">
        <v>54</v>
      </c>
      <c r="D85" s="24" t="s">
        <v>388</v>
      </c>
      <c r="E85" s="24" t="s">
        <v>33</v>
      </c>
      <c r="F85" s="25">
        <v>44379</v>
      </c>
      <c r="G85" s="24">
        <v>46508</v>
      </c>
      <c r="H85" s="26">
        <v>34</v>
      </c>
      <c r="I85" s="24" t="s">
        <v>45</v>
      </c>
      <c r="J85" s="24" t="str">
        <f>VLOOKUP(E85,Lookup_Departments!$A$1:$B$7,2,FALSE)</f>
        <v>Operations</v>
      </c>
      <c r="K85" s="24" t="str">
        <f>VLOOKUP(H85,Lookup_Performance!$A$1:$D$6,3,TRUE)</f>
        <v>Needs Improvement</v>
      </c>
      <c r="L85" s="38">
        <f>VLOOKUP(H85,Lookup_Performance!$A$1:$D$6,4,TRUE)</f>
        <v>0</v>
      </c>
      <c r="M85" s="27" t="str">
        <f t="shared" si="1"/>
        <v>2021</v>
      </c>
      <c r="N85" s="26">
        <v>5</v>
      </c>
    </row>
    <row r="86" spans="1:14" x14ac:dyDescent="0.3">
      <c r="A86" s="28" t="s">
        <v>182</v>
      </c>
      <c r="B86" s="29" t="s">
        <v>24</v>
      </c>
      <c r="C86" s="29" t="s">
        <v>32</v>
      </c>
      <c r="D86" s="29" t="s">
        <v>389</v>
      </c>
      <c r="E86" s="29" t="s">
        <v>26</v>
      </c>
      <c r="F86" s="30">
        <v>45203</v>
      </c>
      <c r="G86" s="29">
        <v>86232</v>
      </c>
      <c r="H86" s="31">
        <v>93</v>
      </c>
      <c r="I86" s="29" t="s">
        <v>45</v>
      </c>
      <c r="J86" s="29" t="str">
        <f>VLOOKUP(E86,Lookup_Departments!$A$1:$B$7,2,FALSE)</f>
        <v>Finance</v>
      </c>
      <c r="K86" s="29" t="str">
        <f>VLOOKUP(H86,Lookup_Performance!$A$1:$D$6,3,TRUE)</f>
        <v>Exceeding</v>
      </c>
      <c r="L86" s="39">
        <f>VLOOKUP(H86,Lookup_Performance!$A$1:$D$6,4,TRUE)</f>
        <v>0.08</v>
      </c>
      <c r="M86" s="32" t="str">
        <f t="shared" si="1"/>
        <v>2023</v>
      </c>
      <c r="N86" s="31">
        <v>3</v>
      </c>
    </row>
    <row r="87" spans="1:14" x14ac:dyDescent="0.3">
      <c r="A87" s="23" t="s">
        <v>184</v>
      </c>
      <c r="B87" s="24" t="s">
        <v>14</v>
      </c>
      <c r="C87" s="24" t="s">
        <v>19</v>
      </c>
      <c r="D87" s="24" t="s">
        <v>390</v>
      </c>
      <c r="E87" s="24" t="s">
        <v>97</v>
      </c>
      <c r="F87" s="25">
        <v>44073</v>
      </c>
      <c r="G87" s="24">
        <v>77545</v>
      </c>
      <c r="H87" s="26">
        <v>48</v>
      </c>
      <c r="I87" s="24" t="s">
        <v>45</v>
      </c>
      <c r="J87" s="24" t="str">
        <f>VLOOKUP(E87,Lookup_Departments!$A$1:$B$7,2,FALSE)</f>
        <v>Human Resources</v>
      </c>
      <c r="K87" s="24" t="str">
        <f>VLOOKUP(H87,Lookup_Performance!$A$1:$D$6,3,TRUE)</f>
        <v>Needs Improvement</v>
      </c>
      <c r="L87" s="38">
        <f>VLOOKUP(H87,Lookup_Performance!$A$1:$D$6,4,TRUE)</f>
        <v>0</v>
      </c>
      <c r="M87" s="27" t="str">
        <f t="shared" si="1"/>
        <v>2020</v>
      </c>
      <c r="N87" s="26">
        <v>6</v>
      </c>
    </row>
    <row r="88" spans="1:14" x14ac:dyDescent="0.3">
      <c r="A88" s="28" t="s">
        <v>185</v>
      </c>
      <c r="B88" s="29" t="s">
        <v>105</v>
      </c>
      <c r="C88" s="29" t="s">
        <v>135</v>
      </c>
      <c r="D88" s="29" t="s">
        <v>391</v>
      </c>
      <c r="E88" s="29" t="s">
        <v>11</v>
      </c>
      <c r="F88" s="30">
        <v>44422</v>
      </c>
      <c r="G88" s="29">
        <v>68683</v>
      </c>
      <c r="H88" s="31">
        <v>90</v>
      </c>
      <c r="I88" s="29" t="s">
        <v>45</v>
      </c>
      <c r="J88" s="29" t="str">
        <f>VLOOKUP(E88,Lookup_Departments!$A$1:$B$7,2,FALSE)</f>
        <v>Information Technology</v>
      </c>
      <c r="K88" s="29" t="str">
        <f>VLOOKUP(H88,Lookup_Performance!$A$1:$D$6,3,TRUE)</f>
        <v>Exceeding</v>
      </c>
      <c r="L88" s="39">
        <f>VLOOKUP(H88,Lookup_Performance!$A$1:$D$6,4,TRUE)</f>
        <v>0.08</v>
      </c>
      <c r="M88" s="32" t="str">
        <f t="shared" si="1"/>
        <v>2021</v>
      </c>
      <c r="N88" s="31">
        <v>5</v>
      </c>
    </row>
    <row r="89" spans="1:14" x14ac:dyDescent="0.3">
      <c r="A89" s="23" t="s">
        <v>186</v>
      </c>
      <c r="B89" s="24" t="s">
        <v>9</v>
      </c>
      <c r="C89" s="24" t="s">
        <v>19</v>
      </c>
      <c r="D89" s="24" t="s">
        <v>333</v>
      </c>
      <c r="E89" s="24" t="s">
        <v>165</v>
      </c>
      <c r="F89" s="25">
        <v>43796</v>
      </c>
      <c r="G89" s="24">
        <v>83932</v>
      </c>
      <c r="H89" s="26">
        <v>57</v>
      </c>
      <c r="I89" s="24" t="s">
        <v>45</v>
      </c>
      <c r="J89" s="24" t="str">
        <f>VLOOKUP(E89,Lookup_Departments!$A$1:$B$7,2,FALSE)</f>
        <v>Operations</v>
      </c>
      <c r="K89" s="24" t="str">
        <f>VLOOKUP(H89,Lookup_Performance!$A$1:$D$6,3,TRUE)</f>
        <v>Developing</v>
      </c>
      <c r="L89" s="38">
        <f>VLOOKUP(H89,Lookup_Performance!$A$1:$D$6,4,TRUE)</f>
        <v>0.02</v>
      </c>
      <c r="M89" s="27" t="str">
        <f t="shared" si="1"/>
        <v>2019</v>
      </c>
      <c r="N89" s="26">
        <v>7</v>
      </c>
    </row>
    <row r="90" spans="1:14" x14ac:dyDescent="0.3">
      <c r="A90" s="28" t="s">
        <v>188</v>
      </c>
      <c r="B90" s="29" t="s">
        <v>53</v>
      </c>
      <c r="C90" s="29" t="s">
        <v>64</v>
      </c>
      <c r="D90" s="29" t="s">
        <v>392</v>
      </c>
      <c r="E90" s="29" t="s">
        <v>44</v>
      </c>
      <c r="F90" s="30">
        <v>42880</v>
      </c>
      <c r="G90" s="29">
        <v>56073</v>
      </c>
      <c r="H90" s="31">
        <v>79</v>
      </c>
      <c r="I90" s="29" t="s">
        <v>45</v>
      </c>
      <c r="J90" s="29" t="str">
        <f>VLOOKUP(E90,Lookup_Departments!$A$1:$B$7,2,FALSE)</f>
        <v>Sales</v>
      </c>
      <c r="K90" s="29" t="str">
        <f>VLOOKUP(H90,Lookup_Performance!$A$1:$D$6,3,TRUE)</f>
        <v>Achieving</v>
      </c>
      <c r="L90" s="39">
        <f>VLOOKUP(H90,Lookup_Performance!$A$1:$D$6,4,TRUE)</f>
        <v>0.05</v>
      </c>
      <c r="M90" s="32" t="str">
        <f t="shared" si="1"/>
        <v>2017</v>
      </c>
      <c r="N90" s="31">
        <v>9</v>
      </c>
    </row>
    <row r="91" spans="1:14" x14ac:dyDescent="0.3">
      <c r="A91" s="23" t="s">
        <v>191</v>
      </c>
      <c r="B91" s="24" t="s">
        <v>160</v>
      </c>
      <c r="C91" s="24" t="s">
        <v>19</v>
      </c>
      <c r="D91" s="24" t="s">
        <v>393</v>
      </c>
      <c r="E91" s="24" t="s">
        <v>11</v>
      </c>
      <c r="F91" s="25">
        <v>43143</v>
      </c>
      <c r="G91" s="24">
        <v>88056</v>
      </c>
      <c r="H91" s="26">
        <v>66</v>
      </c>
      <c r="I91" s="24" t="s">
        <v>45</v>
      </c>
      <c r="J91" s="24" t="str">
        <f>VLOOKUP(E91,Lookup_Departments!$A$1:$B$7,2,FALSE)</f>
        <v>Information Technology</v>
      </c>
      <c r="K91" s="24" t="str">
        <f>VLOOKUP(H91,Lookup_Performance!$A$1:$D$6,3,TRUE)</f>
        <v>Developing</v>
      </c>
      <c r="L91" s="38">
        <f>VLOOKUP(H91,Lookup_Performance!$A$1:$D$6,4,TRUE)</f>
        <v>0.02</v>
      </c>
      <c r="M91" s="27" t="str">
        <f t="shared" si="1"/>
        <v>2018</v>
      </c>
      <c r="N91" s="26">
        <v>8</v>
      </c>
    </row>
    <row r="92" spans="1:14" x14ac:dyDescent="0.3">
      <c r="A92" s="28" t="s">
        <v>192</v>
      </c>
      <c r="B92" s="29" t="s">
        <v>28</v>
      </c>
      <c r="C92" s="29" t="s">
        <v>60</v>
      </c>
      <c r="D92" s="29" t="s">
        <v>394</v>
      </c>
      <c r="E92" s="29" t="s">
        <v>44</v>
      </c>
      <c r="F92" s="30">
        <v>43639</v>
      </c>
      <c r="G92" s="29">
        <v>67414</v>
      </c>
      <c r="H92" s="31">
        <v>84</v>
      </c>
      <c r="I92" s="29" t="s">
        <v>30</v>
      </c>
      <c r="J92" s="29" t="str">
        <f>VLOOKUP(E92,Lookup_Departments!$A$1:$B$7,2,FALSE)</f>
        <v>Sales</v>
      </c>
      <c r="K92" s="29" t="str">
        <f>VLOOKUP(H92,Lookup_Performance!$A$1:$D$6,3,TRUE)</f>
        <v>Achieving</v>
      </c>
      <c r="L92" s="39">
        <f>VLOOKUP(H92,Lookup_Performance!$A$1:$D$6,4,TRUE)</f>
        <v>0.05</v>
      </c>
      <c r="M92" s="32" t="str">
        <f t="shared" si="1"/>
        <v>2019</v>
      </c>
      <c r="N92" s="31">
        <v>7</v>
      </c>
    </row>
    <row r="93" spans="1:14" x14ac:dyDescent="0.3">
      <c r="A93" s="23" t="s">
        <v>193</v>
      </c>
      <c r="B93" s="24" t="s">
        <v>39</v>
      </c>
      <c r="C93" s="24" t="s">
        <v>135</v>
      </c>
      <c r="D93" s="24" t="s">
        <v>395</v>
      </c>
      <c r="E93" s="24" t="s">
        <v>11</v>
      </c>
      <c r="F93" s="25">
        <v>42304</v>
      </c>
      <c r="G93" s="24">
        <v>115288</v>
      </c>
      <c r="H93" s="26">
        <v>61</v>
      </c>
      <c r="I93" s="24" t="s">
        <v>45</v>
      </c>
      <c r="J93" s="24" t="str">
        <f>VLOOKUP(E93,Lookup_Departments!$A$1:$B$7,2,FALSE)</f>
        <v>Information Technology</v>
      </c>
      <c r="K93" s="24" t="str">
        <f>VLOOKUP(H93,Lookup_Performance!$A$1:$D$6,3,TRUE)</f>
        <v>Developing</v>
      </c>
      <c r="L93" s="38">
        <f>VLOOKUP(H93,Lookup_Performance!$A$1:$D$6,4,TRUE)</f>
        <v>0.02</v>
      </c>
      <c r="M93" s="27" t="str">
        <f t="shared" si="1"/>
        <v>2015</v>
      </c>
      <c r="N93" s="26">
        <v>11</v>
      </c>
    </row>
    <row r="94" spans="1:14" x14ac:dyDescent="0.3">
      <c r="A94" s="28" t="s">
        <v>194</v>
      </c>
      <c r="B94" s="29" t="s">
        <v>105</v>
      </c>
      <c r="C94" s="29" t="s">
        <v>32</v>
      </c>
      <c r="D94" s="29" t="s">
        <v>396</v>
      </c>
      <c r="E94" s="29" t="s">
        <v>55</v>
      </c>
      <c r="F94" s="30">
        <v>43270</v>
      </c>
      <c r="G94" s="29">
        <v>73087</v>
      </c>
      <c r="H94" s="31">
        <v>69</v>
      </c>
      <c r="I94" s="29" t="s">
        <v>45</v>
      </c>
      <c r="J94" s="29" t="str">
        <f>VLOOKUP(E94,Lookup_Departments!$A$1:$B$7,2,FALSE)</f>
        <v>Marketing</v>
      </c>
      <c r="K94" s="29" t="str">
        <f>VLOOKUP(H94,Lookup_Performance!$A$1:$D$6,3,TRUE)</f>
        <v>Developing</v>
      </c>
      <c r="L94" s="39">
        <f>VLOOKUP(H94,Lookup_Performance!$A$1:$D$6,4,TRUE)</f>
        <v>0.02</v>
      </c>
      <c r="M94" s="32" t="str">
        <f t="shared" si="1"/>
        <v>2018</v>
      </c>
      <c r="N94" s="31">
        <v>8</v>
      </c>
    </row>
    <row r="95" spans="1:14" x14ac:dyDescent="0.3">
      <c r="A95" s="23" t="s">
        <v>196</v>
      </c>
      <c r="B95" s="24" t="s">
        <v>28</v>
      </c>
      <c r="C95" s="24" t="s">
        <v>47</v>
      </c>
      <c r="D95" s="24" t="s">
        <v>397</v>
      </c>
      <c r="E95" s="24" t="s">
        <v>11</v>
      </c>
      <c r="F95" s="25">
        <v>43435</v>
      </c>
      <c r="G95" s="24">
        <v>95292</v>
      </c>
      <c r="H95" s="26">
        <v>34</v>
      </c>
      <c r="I95" s="24" t="s">
        <v>30</v>
      </c>
      <c r="J95" s="24" t="str">
        <f>VLOOKUP(E95,Lookup_Departments!$A$1:$B$7,2,FALSE)</f>
        <v>Information Technology</v>
      </c>
      <c r="K95" s="24" t="str">
        <f>VLOOKUP(H95,Lookup_Performance!$A$1:$D$6,3,TRUE)</f>
        <v>Needs Improvement</v>
      </c>
      <c r="L95" s="38">
        <f>VLOOKUP(H95,Lookup_Performance!$A$1:$D$6,4,TRUE)</f>
        <v>0</v>
      </c>
      <c r="M95" s="27" t="str">
        <f t="shared" si="1"/>
        <v>2018</v>
      </c>
      <c r="N95" s="26">
        <v>8</v>
      </c>
    </row>
    <row r="96" spans="1:14" x14ac:dyDescent="0.3">
      <c r="A96" s="28" t="s">
        <v>197</v>
      </c>
      <c r="B96" s="29" t="s">
        <v>160</v>
      </c>
      <c r="C96" s="29" t="s">
        <v>19</v>
      </c>
      <c r="D96" s="29" t="s">
        <v>376</v>
      </c>
      <c r="E96" s="29" t="s">
        <v>33</v>
      </c>
      <c r="F96" s="30">
        <v>42095</v>
      </c>
      <c r="G96" s="29">
        <v>82713</v>
      </c>
      <c r="H96" s="31">
        <v>33</v>
      </c>
      <c r="I96" s="29" t="s">
        <v>45</v>
      </c>
      <c r="J96" s="29" t="str">
        <f>VLOOKUP(E96,Lookup_Departments!$A$1:$B$7,2,FALSE)</f>
        <v>Operations</v>
      </c>
      <c r="K96" s="29" t="str">
        <f>VLOOKUP(H96,Lookup_Performance!$A$1:$D$6,3,TRUE)</f>
        <v>Needs Improvement</v>
      </c>
      <c r="L96" s="39">
        <f>VLOOKUP(H96,Lookup_Performance!$A$1:$D$6,4,TRUE)</f>
        <v>0</v>
      </c>
      <c r="M96" s="32" t="str">
        <f t="shared" si="1"/>
        <v>2015</v>
      </c>
      <c r="N96" s="31">
        <v>11</v>
      </c>
    </row>
    <row r="97" spans="1:14" x14ac:dyDescent="0.3">
      <c r="A97" s="23" t="s">
        <v>199</v>
      </c>
      <c r="B97" s="24" t="s">
        <v>9</v>
      </c>
      <c r="C97" s="24" t="s">
        <v>29</v>
      </c>
      <c r="D97" s="24" t="s">
        <v>398</v>
      </c>
      <c r="E97" s="24" t="s">
        <v>11</v>
      </c>
      <c r="F97" s="34">
        <v>43232</v>
      </c>
      <c r="G97" s="24">
        <v>101750</v>
      </c>
      <c r="H97" s="24">
        <v>84</v>
      </c>
      <c r="I97" s="24" t="s">
        <v>45</v>
      </c>
      <c r="J97" s="24" t="str">
        <f>VLOOKUP(E97,Lookup_Departments!$A$1:$B$7,2,FALSE)</f>
        <v>Information Technology</v>
      </c>
      <c r="K97" s="24" t="str">
        <f>VLOOKUP(H97,Lookup_Performance!$A$1:$D$6,3,TRUE)</f>
        <v>Achieving</v>
      </c>
      <c r="L97" s="38">
        <f>VLOOKUP(H97,Lookup_Performance!$A$1:$D$6,4,TRUE)</f>
        <v>0.05</v>
      </c>
      <c r="M97" s="27" t="str">
        <f t="shared" si="1"/>
        <v>2018</v>
      </c>
      <c r="N97" s="26">
        <v>8</v>
      </c>
    </row>
    <row r="98" spans="1:14" x14ac:dyDescent="0.3">
      <c r="A98" s="28" t="s">
        <v>200</v>
      </c>
      <c r="B98" s="29" t="s">
        <v>24</v>
      </c>
      <c r="C98" s="29" t="s">
        <v>32</v>
      </c>
      <c r="D98" s="29" t="s">
        <v>399</v>
      </c>
      <c r="E98" s="29" t="s">
        <v>33</v>
      </c>
      <c r="F98" s="30">
        <v>44482</v>
      </c>
      <c r="G98" s="29">
        <v>82992</v>
      </c>
      <c r="H98" s="31">
        <v>79</v>
      </c>
      <c r="I98" s="29" t="s">
        <v>45</v>
      </c>
      <c r="J98" s="29" t="str">
        <f>VLOOKUP(E98,Lookup_Departments!$A$1:$B$7,2,FALSE)</f>
        <v>Operations</v>
      </c>
      <c r="K98" s="29" t="str">
        <f>VLOOKUP(H98,Lookup_Performance!$A$1:$D$6,3,TRUE)</f>
        <v>Achieving</v>
      </c>
      <c r="L98" s="39">
        <f>VLOOKUP(H98,Lookup_Performance!$A$1:$D$6,4,TRUE)</f>
        <v>0.05</v>
      </c>
      <c r="M98" s="32" t="str">
        <f t="shared" si="1"/>
        <v>2021</v>
      </c>
      <c r="N98" s="31">
        <v>5</v>
      </c>
    </row>
    <row r="99" spans="1:14" x14ac:dyDescent="0.3">
      <c r="A99" s="23" t="s">
        <v>201</v>
      </c>
      <c r="B99" s="24" t="s">
        <v>53</v>
      </c>
      <c r="C99" s="24" t="s">
        <v>32</v>
      </c>
      <c r="D99" s="24" t="s">
        <v>335</v>
      </c>
      <c r="E99" s="24" t="s">
        <v>16</v>
      </c>
      <c r="F99" s="25">
        <v>44021</v>
      </c>
      <c r="G99" s="24">
        <v>49942</v>
      </c>
      <c r="H99" s="26">
        <v>51</v>
      </c>
      <c r="I99" s="24" t="s">
        <v>45</v>
      </c>
      <c r="J99" s="24" t="str">
        <f>VLOOKUP(E99,Lookup_Departments!$A$1:$B$7,2,FALSE)</f>
        <v>Marketing</v>
      </c>
      <c r="K99" s="24" t="str">
        <f>VLOOKUP(H99,Lookup_Performance!$A$1:$D$6,3,TRUE)</f>
        <v>Developing</v>
      </c>
      <c r="L99" s="38">
        <f>VLOOKUP(H99,Lookup_Performance!$A$1:$D$6,4,TRUE)</f>
        <v>0.02</v>
      </c>
      <c r="M99" s="27" t="str">
        <f t="shared" si="1"/>
        <v>2020</v>
      </c>
      <c r="N99" s="26">
        <v>6</v>
      </c>
    </row>
    <row r="100" spans="1:14" x14ac:dyDescent="0.3">
      <c r="A100" s="28" t="s">
        <v>202</v>
      </c>
      <c r="B100" s="29" t="s">
        <v>24</v>
      </c>
      <c r="C100" s="29" t="s">
        <v>60</v>
      </c>
      <c r="D100" s="29" t="s">
        <v>347</v>
      </c>
      <c r="E100" s="29" t="s">
        <v>11</v>
      </c>
      <c r="F100" s="30">
        <v>43532</v>
      </c>
      <c r="G100" s="29">
        <v>89060</v>
      </c>
      <c r="H100" s="31">
        <v>58</v>
      </c>
      <c r="I100" s="29" t="s">
        <v>45</v>
      </c>
      <c r="J100" s="29" t="str">
        <f>VLOOKUP(E100,Lookup_Departments!$A$1:$B$7,2,FALSE)</f>
        <v>Information Technology</v>
      </c>
      <c r="K100" s="29" t="str">
        <f>VLOOKUP(H100,Lookup_Performance!$A$1:$D$6,3,TRUE)</f>
        <v>Developing</v>
      </c>
      <c r="L100" s="39">
        <f>VLOOKUP(H100,Lookup_Performance!$A$1:$D$6,4,TRUE)</f>
        <v>0.02</v>
      </c>
      <c r="M100" s="32" t="str">
        <f t="shared" si="1"/>
        <v>2019</v>
      </c>
      <c r="N100" s="31">
        <v>7</v>
      </c>
    </row>
    <row r="101" spans="1:14" x14ac:dyDescent="0.3">
      <c r="A101" s="23" t="s">
        <v>204</v>
      </c>
      <c r="B101" s="24" t="s">
        <v>53</v>
      </c>
      <c r="C101" s="24" t="s">
        <v>69</v>
      </c>
      <c r="D101" s="24" t="s">
        <v>381</v>
      </c>
      <c r="E101" s="24" t="s">
        <v>97</v>
      </c>
      <c r="F101" s="25">
        <v>42311</v>
      </c>
      <c r="G101" s="24">
        <v>53786</v>
      </c>
      <c r="H101" s="26">
        <v>98</v>
      </c>
      <c r="I101" s="24" t="s">
        <v>30</v>
      </c>
      <c r="J101" s="24" t="str">
        <f>VLOOKUP(E101,Lookup_Departments!$A$1:$B$7,2,FALSE)</f>
        <v>Human Resources</v>
      </c>
      <c r="K101" s="24" t="str">
        <f>VLOOKUP(H101,Lookup_Performance!$A$1:$D$6,3,TRUE)</f>
        <v>Outstanding</v>
      </c>
      <c r="L101" s="38">
        <f>VLOOKUP(H101,Lookup_Performance!$A$1:$D$6,4,TRUE)</f>
        <v>0.12</v>
      </c>
      <c r="M101" s="27" t="str">
        <f t="shared" si="1"/>
        <v>2015</v>
      </c>
      <c r="N101" s="26">
        <v>11</v>
      </c>
    </row>
    <row r="102" spans="1:14" x14ac:dyDescent="0.3">
      <c r="A102" s="28" t="s">
        <v>206</v>
      </c>
      <c r="B102" s="29" t="s">
        <v>105</v>
      </c>
      <c r="C102" s="29" t="s">
        <v>19</v>
      </c>
      <c r="D102" s="29" t="s">
        <v>400</v>
      </c>
      <c r="E102" s="29" t="s">
        <v>44</v>
      </c>
      <c r="F102" s="30">
        <v>42785</v>
      </c>
      <c r="G102" s="29">
        <v>81167</v>
      </c>
      <c r="H102" s="31">
        <v>68.077464788732399</v>
      </c>
      <c r="I102" s="29" t="s">
        <v>45</v>
      </c>
      <c r="J102" s="29" t="str">
        <f>VLOOKUP(E102,Lookup_Departments!$A$1:$B$7,2,FALSE)</f>
        <v>Sales</v>
      </c>
      <c r="K102" s="29" t="str">
        <f>VLOOKUP(H102,Lookup_Performance!$A$1:$D$6,3,TRUE)</f>
        <v>Developing</v>
      </c>
      <c r="L102" s="39">
        <f>VLOOKUP(H102,Lookup_Performance!$A$1:$D$6,4,TRUE)</f>
        <v>0.02</v>
      </c>
      <c r="M102" s="32" t="str">
        <f t="shared" si="1"/>
        <v>2017</v>
      </c>
      <c r="N102" s="31">
        <v>9</v>
      </c>
    </row>
    <row r="103" spans="1:14" x14ac:dyDescent="0.3">
      <c r="A103" s="23" t="s">
        <v>208</v>
      </c>
      <c r="B103" s="24" t="s">
        <v>160</v>
      </c>
      <c r="C103" s="24" t="s">
        <v>64</v>
      </c>
      <c r="D103" s="24" t="s">
        <v>401</v>
      </c>
      <c r="E103" s="24" t="s">
        <v>44</v>
      </c>
      <c r="F103" s="25">
        <v>45174</v>
      </c>
      <c r="G103" s="24">
        <v>66688</v>
      </c>
      <c r="H103" s="26">
        <v>40</v>
      </c>
      <c r="I103" s="24" t="s">
        <v>45</v>
      </c>
      <c r="J103" s="24" t="str">
        <f>VLOOKUP(E103,Lookup_Departments!$A$1:$B$7,2,FALSE)</f>
        <v>Sales</v>
      </c>
      <c r="K103" s="24" t="str">
        <f>VLOOKUP(H103,Lookup_Performance!$A$1:$D$6,3,TRUE)</f>
        <v>Needs Improvement</v>
      </c>
      <c r="L103" s="38">
        <f>VLOOKUP(H103,Lookup_Performance!$A$1:$D$6,4,TRUE)</f>
        <v>0</v>
      </c>
      <c r="M103" s="27" t="str">
        <f t="shared" si="1"/>
        <v>2023</v>
      </c>
      <c r="N103" s="26">
        <v>3</v>
      </c>
    </row>
    <row r="104" spans="1:14" x14ac:dyDescent="0.3">
      <c r="A104" s="28" t="s">
        <v>210</v>
      </c>
      <c r="B104" s="29" t="s">
        <v>24</v>
      </c>
      <c r="C104" s="29" t="s">
        <v>29</v>
      </c>
      <c r="D104" s="29" t="s">
        <v>402</v>
      </c>
      <c r="E104" s="29" t="s">
        <v>33</v>
      </c>
      <c r="F104" s="30">
        <v>43122</v>
      </c>
      <c r="G104" s="29">
        <v>91672</v>
      </c>
      <c r="H104" s="31">
        <v>88</v>
      </c>
      <c r="I104" s="29" t="s">
        <v>45</v>
      </c>
      <c r="J104" s="29" t="str">
        <f>VLOOKUP(E104,Lookup_Departments!$A$1:$B$7,2,FALSE)</f>
        <v>Operations</v>
      </c>
      <c r="K104" s="29" t="str">
        <f>VLOOKUP(H104,Lookup_Performance!$A$1:$D$6,3,TRUE)</f>
        <v>Exceeding</v>
      </c>
      <c r="L104" s="39">
        <f>VLOOKUP(H104,Lookup_Performance!$A$1:$D$6,4,TRUE)</f>
        <v>0.08</v>
      </c>
      <c r="M104" s="32" t="str">
        <f t="shared" si="1"/>
        <v>2018</v>
      </c>
      <c r="N104" s="31">
        <v>8</v>
      </c>
    </row>
    <row r="105" spans="1:14" x14ac:dyDescent="0.3">
      <c r="A105" s="23" t="s">
        <v>211</v>
      </c>
      <c r="B105" s="24" t="s">
        <v>66</v>
      </c>
      <c r="C105" s="24" t="s">
        <v>19</v>
      </c>
      <c r="D105" s="24" t="s">
        <v>403</v>
      </c>
      <c r="E105" s="24" t="s">
        <v>16</v>
      </c>
      <c r="F105" s="25">
        <v>43879</v>
      </c>
      <c r="G105" s="24">
        <v>77737</v>
      </c>
      <c r="H105" s="26">
        <v>77</v>
      </c>
      <c r="I105" s="24" t="s">
        <v>45</v>
      </c>
      <c r="J105" s="24" t="str">
        <f>VLOOKUP(E105,Lookup_Departments!$A$1:$B$7,2,FALSE)</f>
        <v>Marketing</v>
      </c>
      <c r="K105" s="24" t="str">
        <f>VLOOKUP(H105,Lookup_Performance!$A$1:$D$6,3,TRUE)</f>
        <v>Achieving</v>
      </c>
      <c r="L105" s="38">
        <f>VLOOKUP(H105,Lookup_Performance!$A$1:$D$6,4,TRUE)</f>
        <v>0.05</v>
      </c>
      <c r="M105" s="27" t="str">
        <f t="shared" si="1"/>
        <v>2020</v>
      </c>
      <c r="N105" s="26">
        <v>6</v>
      </c>
    </row>
    <row r="106" spans="1:14" x14ac:dyDescent="0.3">
      <c r="A106" s="28" t="s">
        <v>212</v>
      </c>
      <c r="B106" s="29" t="s">
        <v>9</v>
      </c>
      <c r="C106" s="29" t="s">
        <v>32</v>
      </c>
      <c r="D106" s="29" t="s">
        <v>365</v>
      </c>
      <c r="E106" s="29" t="s">
        <v>11</v>
      </c>
      <c r="F106" s="30">
        <v>42512</v>
      </c>
      <c r="G106" s="29">
        <v>95686</v>
      </c>
      <c r="H106" s="31">
        <v>91</v>
      </c>
      <c r="I106" s="29" t="s">
        <v>45</v>
      </c>
      <c r="J106" s="29" t="str">
        <f>VLOOKUP(E106,Lookup_Departments!$A$1:$B$7,2,FALSE)</f>
        <v>Information Technology</v>
      </c>
      <c r="K106" s="29" t="str">
        <f>VLOOKUP(H106,Lookup_Performance!$A$1:$D$6,3,TRUE)</f>
        <v>Exceeding</v>
      </c>
      <c r="L106" s="39">
        <f>VLOOKUP(H106,Lookup_Performance!$A$1:$D$6,4,TRUE)</f>
        <v>0.08</v>
      </c>
      <c r="M106" s="32" t="str">
        <f t="shared" si="1"/>
        <v>2016</v>
      </c>
      <c r="N106" s="31">
        <v>10</v>
      </c>
    </row>
    <row r="107" spans="1:14" x14ac:dyDescent="0.3">
      <c r="A107" s="23" t="s">
        <v>214</v>
      </c>
      <c r="B107" s="24" t="s">
        <v>160</v>
      </c>
      <c r="C107" s="24" t="s">
        <v>54</v>
      </c>
      <c r="D107" s="24" t="s">
        <v>404</v>
      </c>
      <c r="E107" s="24" t="s">
        <v>11</v>
      </c>
      <c r="F107" s="25">
        <v>44233</v>
      </c>
      <c r="G107" s="24">
        <v>114681</v>
      </c>
      <c r="H107" s="26">
        <v>36</v>
      </c>
      <c r="I107" s="24" t="s">
        <v>30</v>
      </c>
      <c r="J107" s="24" t="str">
        <f>VLOOKUP(E107,Lookup_Departments!$A$1:$B$7,2,FALSE)</f>
        <v>Information Technology</v>
      </c>
      <c r="K107" s="24" t="str">
        <f>VLOOKUP(H107,Lookup_Performance!$A$1:$D$6,3,TRUE)</f>
        <v>Needs Improvement</v>
      </c>
      <c r="L107" s="38">
        <f>VLOOKUP(H107,Lookup_Performance!$A$1:$D$6,4,TRUE)</f>
        <v>0</v>
      </c>
      <c r="M107" s="27" t="str">
        <f t="shared" si="1"/>
        <v>2021</v>
      </c>
      <c r="N107" s="26">
        <v>5</v>
      </c>
    </row>
    <row r="108" spans="1:14" x14ac:dyDescent="0.3">
      <c r="A108" s="28" t="s">
        <v>215</v>
      </c>
      <c r="B108" s="29" t="s">
        <v>66</v>
      </c>
      <c r="C108" s="29" t="s">
        <v>60</v>
      </c>
      <c r="D108" s="29" t="s">
        <v>338</v>
      </c>
      <c r="E108" s="29" t="s">
        <v>11</v>
      </c>
      <c r="F108" s="30">
        <v>44394</v>
      </c>
      <c r="G108" s="29">
        <v>109121</v>
      </c>
      <c r="H108" s="31">
        <v>72</v>
      </c>
      <c r="I108" s="29" t="s">
        <v>45</v>
      </c>
      <c r="J108" s="29" t="str">
        <f>VLOOKUP(E108,Lookup_Departments!$A$1:$B$7,2,FALSE)</f>
        <v>Information Technology</v>
      </c>
      <c r="K108" s="29" t="str">
        <f>VLOOKUP(H108,Lookup_Performance!$A$1:$D$6,3,TRUE)</f>
        <v>Achieving</v>
      </c>
      <c r="L108" s="39">
        <f>VLOOKUP(H108,Lookup_Performance!$A$1:$D$6,4,TRUE)</f>
        <v>0.05</v>
      </c>
      <c r="M108" s="32" t="str">
        <f t="shared" si="1"/>
        <v>2021</v>
      </c>
      <c r="N108" s="31">
        <v>5</v>
      </c>
    </row>
    <row r="109" spans="1:14" x14ac:dyDescent="0.3">
      <c r="A109" s="23" t="s">
        <v>216</v>
      </c>
      <c r="B109" s="24" t="s">
        <v>39</v>
      </c>
      <c r="C109" s="24" t="s">
        <v>19</v>
      </c>
      <c r="D109" s="24" t="s">
        <v>384</v>
      </c>
      <c r="E109" s="24" t="s">
        <v>16</v>
      </c>
      <c r="F109" s="25">
        <v>42687</v>
      </c>
      <c r="G109" s="24">
        <v>112791</v>
      </c>
      <c r="H109" s="26">
        <v>87</v>
      </c>
      <c r="I109" s="24" t="s">
        <v>45</v>
      </c>
      <c r="J109" s="24" t="str">
        <f>VLOOKUP(E109,Lookup_Departments!$A$1:$B$7,2,FALSE)</f>
        <v>Marketing</v>
      </c>
      <c r="K109" s="24" t="str">
        <f>VLOOKUP(H109,Lookup_Performance!$A$1:$D$6,3,TRUE)</f>
        <v>Exceeding</v>
      </c>
      <c r="L109" s="38">
        <f>VLOOKUP(H109,Lookup_Performance!$A$1:$D$6,4,TRUE)</f>
        <v>0.08</v>
      </c>
      <c r="M109" s="27" t="str">
        <f t="shared" si="1"/>
        <v>2016</v>
      </c>
      <c r="N109" s="26">
        <v>10</v>
      </c>
    </row>
    <row r="110" spans="1:14" x14ac:dyDescent="0.3">
      <c r="A110" s="28" t="s">
        <v>219</v>
      </c>
      <c r="B110" s="29" t="s">
        <v>94</v>
      </c>
      <c r="C110" s="29" t="s">
        <v>47</v>
      </c>
      <c r="D110" s="29" t="s">
        <v>405</v>
      </c>
      <c r="E110" s="29" t="s">
        <v>33</v>
      </c>
      <c r="F110" s="30">
        <v>43513</v>
      </c>
      <c r="G110" s="29">
        <v>118008</v>
      </c>
      <c r="H110" s="31">
        <v>71</v>
      </c>
      <c r="I110" s="29" t="s">
        <v>45</v>
      </c>
      <c r="J110" s="29" t="str">
        <f>VLOOKUP(E110,Lookup_Departments!$A$1:$B$7,2,FALSE)</f>
        <v>Operations</v>
      </c>
      <c r="K110" s="29" t="str">
        <f>VLOOKUP(H110,Lookup_Performance!$A$1:$D$6,3,TRUE)</f>
        <v>Achieving</v>
      </c>
      <c r="L110" s="39">
        <f>VLOOKUP(H110,Lookup_Performance!$A$1:$D$6,4,TRUE)</f>
        <v>0.05</v>
      </c>
      <c r="M110" s="32" t="str">
        <f t="shared" si="1"/>
        <v>2019</v>
      </c>
      <c r="N110" s="31">
        <v>7</v>
      </c>
    </row>
    <row r="111" spans="1:14" x14ac:dyDescent="0.3">
      <c r="A111" s="23" t="s">
        <v>221</v>
      </c>
      <c r="B111" s="24" t="s">
        <v>39</v>
      </c>
      <c r="C111" s="24" t="s">
        <v>29</v>
      </c>
      <c r="D111" s="24" t="s">
        <v>406</v>
      </c>
      <c r="E111" s="24" t="s">
        <v>97</v>
      </c>
      <c r="F111" s="25">
        <v>42713</v>
      </c>
      <c r="G111" s="24">
        <v>74370</v>
      </c>
      <c r="H111" s="26">
        <v>82</v>
      </c>
      <c r="I111" s="24" t="s">
        <v>45</v>
      </c>
      <c r="J111" s="24" t="str">
        <f>VLOOKUP(E111,Lookup_Departments!$A$1:$B$7,2,FALSE)</f>
        <v>Human Resources</v>
      </c>
      <c r="K111" s="24" t="str">
        <f>VLOOKUP(H111,Lookup_Performance!$A$1:$D$6,3,TRUE)</f>
        <v>Achieving</v>
      </c>
      <c r="L111" s="38">
        <f>VLOOKUP(H111,Lookup_Performance!$A$1:$D$6,4,TRUE)</f>
        <v>0.05</v>
      </c>
      <c r="M111" s="27" t="str">
        <f t="shared" si="1"/>
        <v>2016</v>
      </c>
      <c r="N111" s="26">
        <v>10</v>
      </c>
    </row>
    <row r="112" spans="1:14" x14ac:dyDescent="0.3">
      <c r="A112" s="28" t="s">
        <v>222</v>
      </c>
      <c r="B112" s="29" t="s">
        <v>28</v>
      </c>
      <c r="C112" s="29" t="s">
        <v>60</v>
      </c>
      <c r="D112" s="29" t="s">
        <v>407</v>
      </c>
      <c r="E112" s="29" t="s">
        <v>44</v>
      </c>
      <c r="F112" s="30">
        <v>44421</v>
      </c>
      <c r="G112" s="29">
        <v>77819</v>
      </c>
      <c r="H112" s="31">
        <v>79</v>
      </c>
      <c r="I112" s="29" t="s">
        <v>45</v>
      </c>
      <c r="J112" s="29" t="str">
        <f>VLOOKUP(E112,Lookup_Departments!$A$1:$B$7,2,FALSE)</f>
        <v>Sales</v>
      </c>
      <c r="K112" s="29" t="str">
        <f>VLOOKUP(H112,Lookup_Performance!$A$1:$D$6,3,TRUE)</f>
        <v>Achieving</v>
      </c>
      <c r="L112" s="39">
        <f>VLOOKUP(H112,Lookup_Performance!$A$1:$D$6,4,TRUE)</f>
        <v>0.05</v>
      </c>
      <c r="M112" s="32" t="str">
        <f t="shared" si="1"/>
        <v>2021</v>
      </c>
      <c r="N112" s="31">
        <v>5</v>
      </c>
    </row>
    <row r="113" spans="1:14" x14ac:dyDescent="0.3">
      <c r="A113" s="23" t="s">
        <v>225</v>
      </c>
      <c r="B113" s="24" t="s">
        <v>71</v>
      </c>
      <c r="C113" s="24" t="s">
        <v>10</v>
      </c>
      <c r="D113" s="24" t="s">
        <v>408</v>
      </c>
      <c r="E113" s="24" t="s">
        <v>11</v>
      </c>
      <c r="F113" s="25">
        <v>43996</v>
      </c>
      <c r="G113" s="24">
        <v>48748</v>
      </c>
      <c r="H113" s="26">
        <v>83</v>
      </c>
      <c r="I113" s="24" t="s">
        <v>45</v>
      </c>
      <c r="J113" s="24" t="str">
        <f>VLOOKUP(E113,Lookup_Departments!$A$1:$B$7,2,FALSE)</f>
        <v>Information Technology</v>
      </c>
      <c r="K113" s="24" t="str">
        <f>VLOOKUP(H113,Lookup_Performance!$A$1:$D$6,3,TRUE)</f>
        <v>Achieving</v>
      </c>
      <c r="L113" s="38">
        <f>VLOOKUP(H113,Lookup_Performance!$A$1:$D$6,4,TRUE)</f>
        <v>0.05</v>
      </c>
      <c r="M113" s="27" t="str">
        <f t="shared" si="1"/>
        <v>2020</v>
      </c>
      <c r="N113" s="26">
        <v>6</v>
      </c>
    </row>
    <row r="114" spans="1:14" x14ac:dyDescent="0.3">
      <c r="A114" s="28" t="s">
        <v>227</v>
      </c>
      <c r="B114" s="29" t="s">
        <v>59</v>
      </c>
      <c r="C114" s="29" t="s">
        <v>25</v>
      </c>
      <c r="D114" s="29" t="s">
        <v>409</v>
      </c>
      <c r="E114" s="29" t="s">
        <v>44</v>
      </c>
      <c r="F114" s="30">
        <v>44688</v>
      </c>
      <c r="G114" s="29">
        <v>101997</v>
      </c>
      <c r="H114" s="31">
        <v>38</v>
      </c>
      <c r="I114" s="29" t="s">
        <v>45</v>
      </c>
      <c r="J114" s="29" t="str">
        <f>VLOOKUP(E114,Lookup_Departments!$A$1:$B$7,2,FALSE)</f>
        <v>Sales</v>
      </c>
      <c r="K114" s="29" t="str">
        <f>VLOOKUP(H114,Lookup_Performance!$A$1:$D$6,3,TRUE)</f>
        <v>Needs Improvement</v>
      </c>
      <c r="L114" s="39">
        <f>VLOOKUP(H114,Lookup_Performance!$A$1:$D$6,4,TRUE)</f>
        <v>0</v>
      </c>
      <c r="M114" s="32" t="str">
        <f t="shared" si="1"/>
        <v>2022</v>
      </c>
      <c r="N114" s="31">
        <v>4</v>
      </c>
    </row>
    <row r="115" spans="1:14" x14ac:dyDescent="0.3">
      <c r="A115" s="23" t="s">
        <v>229</v>
      </c>
      <c r="B115" s="24" t="s">
        <v>28</v>
      </c>
      <c r="C115" s="24" t="s">
        <v>47</v>
      </c>
      <c r="D115" s="24" t="s">
        <v>336</v>
      </c>
      <c r="E115" s="24" t="s">
        <v>165</v>
      </c>
      <c r="F115" s="25">
        <v>42561</v>
      </c>
      <c r="G115" s="24">
        <v>115260</v>
      </c>
      <c r="H115" s="26">
        <v>77</v>
      </c>
      <c r="I115" s="24" t="s">
        <v>45</v>
      </c>
      <c r="J115" s="24" t="str">
        <f>VLOOKUP(E115,Lookup_Departments!$A$1:$B$7,2,FALSE)</f>
        <v>Operations</v>
      </c>
      <c r="K115" s="24" t="str">
        <f>VLOOKUP(H115,Lookup_Performance!$A$1:$D$6,3,TRUE)</f>
        <v>Achieving</v>
      </c>
      <c r="L115" s="38">
        <f>VLOOKUP(H115,Lookup_Performance!$A$1:$D$6,4,TRUE)</f>
        <v>0.05</v>
      </c>
      <c r="M115" s="27" t="str">
        <f t="shared" si="1"/>
        <v>2016</v>
      </c>
      <c r="N115" s="26">
        <v>10</v>
      </c>
    </row>
    <row r="116" spans="1:14" x14ac:dyDescent="0.3">
      <c r="A116" s="28" t="s">
        <v>231</v>
      </c>
      <c r="B116" s="29" t="s">
        <v>113</v>
      </c>
      <c r="C116" s="29" t="s">
        <v>41</v>
      </c>
      <c r="D116" s="29" t="s">
        <v>410</v>
      </c>
      <c r="E116" s="29" t="s">
        <v>97</v>
      </c>
      <c r="F116" s="30">
        <v>44674</v>
      </c>
      <c r="G116" s="29">
        <v>82713</v>
      </c>
      <c r="H116" s="31">
        <v>49</v>
      </c>
      <c r="I116" s="29" t="s">
        <v>45</v>
      </c>
      <c r="J116" s="29" t="str">
        <f>VLOOKUP(E116,Lookup_Departments!$A$1:$B$7,2,FALSE)</f>
        <v>Human Resources</v>
      </c>
      <c r="K116" s="29" t="str">
        <f>VLOOKUP(H116,Lookup_Performance!$A$1:$D$6,3,TRUE)</f>
        <v>Needs Improvement</v>
      </c>
      <c r="L116" s="39">
        <f>VLOOKUP(H116,Lookup_Performance!$A$1:$D$6,4,TRUE)</f>
        <v>0</v>
      </c>
      <c r="M116" s="32" t="str">
        <f t="shared" si="1"/>
        <v>2022</v>
      </c>
      <c r="N116" s="31">
        <v>4</v>
      </c>
    </row>
    <row r="117" spans="1:14" x14ac:dyDescent="0.3">
      <c r="A117" s="23" t="s">
        <v>232</v>
      </c>
      <c r="B117" s="24" t="s">
        <v>53</v>
      </c>
      <c r="C117" s="24" t="s">
        <v>47</v>
      </c>
      <c r="D117" s="24" t="s">
        <v>411</v>
      </c>
      <c r="E117" s="24" t="s">
        <v>16</v>
      </c>
      <c r="F117" s="25">
        <v>42865</v>
      </c>
      <c r="G117" s="24">
        <v>82713</v>
      </c>
      <c r="H117" s="26">
        <v>69</v>
      </c>
      <c r="I117" s="24" t="s">
        <v>45</v>
      </c>
      <c r="J117" s="24" t="str">
        <f>VLOOKUP(E117,Lookup_Departments!$A$1:$B$7,2,FALSE)</f>
        <v>Marketing</v>
      </c>
      <c r="K117" s="24" t="str">
        <f>VLOOKUP(H117,Lookup_Performance!$A$1:$D$6,3,TRUE)</f>
        <v>Developing</v>
      </c>
      <c r="L117" s="38">
        <f>VLOOKUP(H117,Lookup_Performance!$A$1:$D$6,4,TRUE)</f>
        <v>0.02</v>
      </c>
      <c r="M117" s="27" t="str">
        <f t="shared" si="1"/>
        <v>2017</v>
      </c>
      <c r="N117" s="26">
        <v>9</v>
      </c>
    </row>
    <row r="118" spans="1:14" x14ac:dyDescent="0.3">
      <c r="A118" s="28" t="s">
        <v>234</v>
      </c>
      <c r="B118" s="29" t="s">
        <v>66</v>
      </c>
      <c r="C118" s="29" t="s">
        <v>41</v>
      </c>
      <c r="D118" s="29" t="s">
        <v>412</v>
      </c>
      <c r="E118" s="29" t="s">
        <v>16</v>
      </c>
      <c r="F118" s="30">
        <v>43971</v>
      </c>
      <c r="G118" s="29">
        <v>82713</v>
      </c>
      <c r="H118" s="31">
        <v>76</v>
      </c>
      <c r="I118" s="29" t="s">
        <v>116</v>
      </c>
      <c r="J118" s="29" t="str">
        <f>VLOOKUP(E118,Lookup_Departments!$A$1:$B$7,2,FALSE)</f>
        <v>Marketing</v>
      </c>
      <c r="K118" s="29" t="str">
        <f>VLOOKUP(H118,Lookup_Performance!$A$1:$D$6,3,TRUE)</f>
        <v>Achieving</v>
      </c>
      <c r="L118" s="39">
        <f>VLOOKUP(H118,Lookup_Performance!$A$1:$D$6,4,TRUE)</f>
        <v>0.05</v>
      </c>
      <c r="M118" s="32" t="str">
        <f t="shared" si="1"/>
        <v>2020</v>
      </c>
      <c r="N118" s="31">
        <v>6</v>
      </c>
    </row>
    <row r="119" spans="1:14" x14ac:dyDescent="0.3">
      <c r="A119" s="23" t="s">
        <v>235</v>
      </c>
      <c r="B119" s="24" t="s">
        <v>94</v>
      </c>
      <c r="C119" s="24" t="s">
        <v>41</v>
      </c>
      <c r="D119" s="24" t="s">
        <v>355</v>
      </c>
      <c r="E119" s="24" t="s">
        <v>11</v>
      </c>
      <c r="F119" s="25">
        <v>45036</v>
      </c>
      <c r="G119" s="24">
        <v>60623</v>
      </c>
      <c r="H119" s="26">
        <v>78</v>
      </c>
      <c r="I119" s="24" t="s">
        <v>45</v>
      </c>
      <c r="J119" s="24" t="str">
        <f>VLOOKUP(E119,Lookup_Departments!$A$1:$B$7,2,FALSE)</f>
        <v>Information Technology</v>
      </c>
      <c r="K119" s="24" t="str">
        <f>VLOOKUP(H119,Lookup_Performance!$A$1:$D$6,3,TRUE)</f>
        <v>Achieving</v>
      </c>
      <c r="L119" s="38">
        <f>VLOOKUP(H119,Lookup_Performance!$A$1:$D$6,4,TRUE)</f>
        <v>0.05</v>
      </c>
      <c r="M119" s="27" t="str">
        <f t="shared" si="1"/>
        <v>2023</v>
      </c>
      <c r="N119" s="26">
        <v>3</v>
      </c>
    </row>
    <row r="120" spans="1:14" x14ac:dyDescent="0.3">
      <c r="A120" s="28" t="s">
        <v>237</v>
      </c>
      <c r="B120" s="29" t="s">
        <v>94</v>
      </c>
      <c r="C120" s="29" t="s">
        <v>36</v>
      </c>
      <c r="D120" s="29" t="s">
        <v>413</v>
      </c>
      <c r="E120" s="29" t="s">
        <v>97</v>
      </c>
      <c r="F120" s="30">
        <v>44500</v>
      </c>
      <c r="G120" s="29">
        <v>68092</v>
      </c>
      <c r="H120" s="31">
        <v>93</v>
      </c>
      <c r="I120" s="29" t="s">
        <v>45</v>
      </c>
      <c r="J120" s="29" t="str">
        <f>VLOOKUP(E120,Lookup_Departments!$A$1:$B$7,2,FALSE)</f>
        <v>Human Resources</v>
      </c>
      <c r="K120" s="29" t="str">
        <f>VLOOKUP(H120,Lookup_Performance!$A$1:$D$6,3,TRUE)</f>
        <v>Exceeding</v>
      </c>
      <c r="L120" s="39">
        <f>VLOOKUP(H120,Lookup_Performance!$A$1:$D$6,4,TRUE)</f>
        <v>0.08</v>
      </c>
      <c r="M120" s="32" t="str">
        <f t="shared" si="1"/>
        <v>2021</v>
      </c>
      <c r="N120" s="31">
        <v>5</v>
      </c>
    </row>
    <row r="121" spans="1:14" x14ac:dyDescent="0.3">
      <c r="A121" s="23" t="s">
        <v>238</v>
      </c>
      <c r="B121" s="24" t="s">
        <v>105</v>
      </c>
      <c r="C121" s="24" t="s">
        <v>10</v>
      </c>
      <c r="D121" s="24" t="s">
        <v>414</v>
      </c>
      <c r="E121" s="24" t="s">
        <v>26</v>
      </c>
      <c r="F121" s="25">
        <v>44493</v>
      </c>
      <c r="G121" s="24">
        <v>88155</v>
      </c>
      <c r="H121" s="26">
        <v>68</v>
      </c>
      <c r="I121" s="24" t="s">
        <v>30</v>
      </c>
      <c r="J121" s="24" t="str">
        <f>VLOOKUP(E121,Lookup_Departments!$A$1:$B$7,2,FALSE)</f>
        <v>Finance</v>
      </c>
      <c r="K121" s="24" t="str">
        <f>VLOOKUP(H121,Lookup_Performance!$A$1:$D$6,3,TRUE)</f>
        <v>Developing</v>
      </c>
      <c r="L121" s="38">
        <f>VLOOKUP(H121,Lookup_Performance!$A$1:$D$6,4,TRUE)</f>
        <v>0.02</v>
      </c>
      <c r="M121" s="27" t="str">
        <f t="shared" si="1"/>
        <v>2021</v>
      </c>
      <c r="N121" s="26">
        <v>5</v>
      </c>
    </row>
    <row r="122" spans="1:14" x14ac:dyDescent="0.3">
      <c r="A122" s="28" t="s">
        <v>240</v>
      </c>
      <c r="B122" s="29" t="s">
        <v>59</v>
      </c>
      <c r="C122" s="29" t="s">
        <v>54</v>
      </c>
      <c r="D122" s="29" t="s">
        <v>370</v>
      </c>
      <c r="E122" s="29" t="s">
        <v>97</v>
      </c>
      <c r="F122" s="30">
        <v>42986</v>
      </c>
      <c r="G122" s="29">
        <v>107903</v>
      </c>
      <c r="H122" s="31">
        <v>42</v>
      </c>
      <c r="I122" s="29" t="s">
        <v>45</v>
      </c>
      <c r="J122" s="29" t="str">
        <f>VLOOKUP(E122,Lookup_Departments!$A$1:$B$7,2,FALSE)</f>
        <v>Human Resources</v>
      </c>
      <c r="K122" s="29" t="str">
        <f>VLOOKUP(H122,Lookup_Performance!$A$1:$D$6,3,TRUE)</f>
        <v>Needs Improvement</v>
      </c>
      <c r="L122" s="39">
        <f>VLOOKUP(H122,Lookup_Performance!$A$1:$D$6,4,TRUE)</f>
        <v>0</v>
      </c>
      <c r="M122" s="32" t="str">
        <f t="shared" si="1"/>
        <v>2017</v>
      </c>
      <c r="N122" s="31">
        <v>9</v>
      </c>
    </row>
    <row r="123" spans="1:14" x14ac:dyDescent="0.3">
      <c r="A123" s="23" t="s">
        <v>241</v>
      </c>
      <c r="B123" s="24" t="s">
        <v>105</v>
      </c>
      <c r="C123" s="24" t="s">
        <v>41</v>
      </c>
      <c r="D123" s="24" t="s">
        <v>415</v>
      </c>
      <c r="E123" s="24" t="s">
        <v>138</v>
      </c>
      <c r="F123" s="25">
        <v>45017</v>
      </c>
      <c r="G123" s="24">
        <v>62818</v>
      </c>
      <c r="H123" s="26">
        <v>34</v>
      </c>
      <c r="I123" s="24" t="s">
        <v>45</v>
      </c>
      <c r="J123" s="24" t="str">
        <f>VLOOKUP(E123,Lookup_Departments!$A$1:$B$7,2,FALSE)</f>
        <v>Human Resources</v>
      </c>
      <c r="K123" s="24" t="str">
        <f>VLOOKUP(H123,Lookup_Performance!$A$1:$D$6,3,TRUE)</f>
        <v>Needs Improvement</v>
      </c>
      <c r="L123" s="38">
        <f>VLOOKUP(H123,Lookup_Performance!$A$1:$D$6,4,TRUE)</f>
        <v>0</v>
      </c>
      <c r="M123" s="27" t="str">
        <f t="shared" si="1"/>
        <v>2023</v>
      </c>
      <c r="N123" s="26">
        <v>3</v>
      </c>
    </row>
    <row r="124" spans="1:14" x14ac:dyDescent="0.3">
      <c r="A124" s="28" t="s">
        <v>242</v>
      </c>
      <c r="B124" s="29" t="s">
        <v>66</v>
      </c>
      <c r="C124" s="29" t="s">
        <v>32</v>
      </c>
      <c r="D124" s="29" t="s">
        <v>416</v>
      </c>
      <c r="E124" s="29" t="s">
        <v>44</v>
      </c>
      <c r="F124" s="30">
        <v>44112</v>
      </c>
      <c r="G124" s="29">
        <v>85151</v>
      </c>
      <c r="H124" s="31">
        <v>35</v>
      </c>
      <c r="I124" s="29" t="s">
        <v>45</v>
      </c>
      <c r="J124" s="29" t="str">
        <f>VLOOKUP(E124,Lookup_Departments!$A$1:$B$7,2,FALSE)</f>
        <v>Sales</v>
      </c>
      <c r="K124" s="29" t="str">
        <f>VLOOKUP(H124,Lookup_Performance!$A$1:$D$6,3,TRUE)</f>
        <v>Needs Improvement</v>
      </c>
      <c r="L124" s="39">
        <f>VLOOKUP(H124,Lookup_Performance!$A$1:$D$6,4,TRUE)</f>
        <v>0</v>
      </c>
      <c r="M124" s="32" t="str">
        <f t="shared" si="1"/>
        <v>2020</v>
      </c>
      <c r="N124" s="31">
        <v>6</v>
      </c>
    </row>
    <row r="125" spans="1:14" x14ac:dyDescent="0.3">
      <c r="A125" s="23" t="s">
        <v>245</v>
      </c>
      <c r="B125" s="24" t="s">
        <v>43</v>
      </c>
      <c r="C125" s="24" t="s">
        <v>36</v>
      </c>
      <c r="D125" s="24" t="s">
        <v>369</v>
      </c>
      <c r="E125" s="24" t="s">
        <v>33</v>
      </c>
      <c r="F125" s="25">
        <v>44596</v>
      </c>
      <c r="G125" s="24">
        <v>46390</v>
      </c>
      <c r="H125" s="26">
        <v>95</v>
      </c>
      <c r="I125" s="24" t="s">
        <v>45</v>
      </c>
      <c r="J125" s="24" t="str">
        <f>VLOOKUP(E125,Lookup_Departments!$A$1:$B$7,2,FALSE)</f>
        <v>Operations</v>
      </c>
      <c r="K125" s="24" t="str">
        <f>VLOOKUP(H125,Lookup_Performance!$A$1:$D$6,3,TRUE)</f>
        <v>Outstanding</v>
      </c>
      <c r="L125" s="38">
        <f>VLOOKUP(H125,Lookup_Performance!$A$1:$D$6,4,TRUE)</f>
        <v>0.12</v>
      </c>
      <c r="M125" s="27" t="str">
        <f t="shared" si="1"/>
        <v>2022</v>
      </c>
      <c r="N125" s="26">
        <v>4</v>
      </c>
    </row>
    <row r="126" spans="1:14" x14ac:dyDescent="0.3">
      <c r="A126" s="28" t="s">
        <v>246</v>
      </c>
      <c r="B126" s="29" t="s">
        <v>160</v>
      </c>
      <c r="C126" s="29" t="s">
        <v>60</v>
      </c>
      <c r="D126" s="29" t="s">
        <v>417</v>
      </c>
      <c r="E126" s="29" t="s">
        <v>26</v>
      </c>
      <c r="F126" s="30">
        <v>43183</v>
      </c>
      <c r="G126" s="29">
        <v>111920</v>
      </c>
      <c r="H126" s="31">
        <v>90</v>
      </c>
      <c r="I126" s="29" t="s">
        <v>45</v>
      </c>
      <c r="J126" s="29" t="str">
        <f>VLOOKUP(E126,Lookup_Departments!$A$1:$B$7,2,FALSE)</f>
        <v>Finance</v>
      </c>
      <c r="K126" s="29" t="str">
        <f>VLOOKUP(H126,Lookup_Performance!$A$1:$D$6,3,TRUE)</f>
        <v>Exceeding</v>
      </c>
      <c r="L126" s="39">
        <f>VLOOKUP(H126,Lookup_Performance!$A$1:$D$6,4,TRUE)</f>
        <v>0.08</v>
      </c>
      <c r="M126" s="32" t="str">
        <f t="shared" si="1"/>
        <v>2018</v>
      </c>
      <c r="N126" s="31">
        <v>8</v>
      </c>
    </row>
    <row r="127" spans="1:14" x14ac:dyDescent="0.3">
      <c r="A127" s="23" t="s">
        <v>248</v>
      </c>
      <c r="B127" s="24" t="s">
        <v>160</v>
      </c>
      <c r="C127" s="24" t="s">
        <v>54</v>
      </c>
      <c r="D127" s="24" t="s">
        <v>418</v>
      </c>
      <c r="E127" s="24" t="s">
        <v>16</v>
      </c>
      <c r="F127" s="25">
        <v>43305</v>
      </c>
      <c r="G127" s="24">
        <v>115618</v>
      </c>
      <c r="H127" s="26">
        <v>42</v>
      </c>
      <c r="I127" s="24" t="s">
        <v>45</v>
      </c>
      <c r="J127" s="24" t="str">
        <f>VLOOKUP(E127,Lookup_Departments!$A$1:$B$7,2,FALSE)</f>
        <v>Marketing</v>
      </c>
      <c r="K127" s="24" t="str">
        <f>VLOOKUP(H127,Lookup_Performance!$A$1:$D$6,3,TRUE)</f>
        <v>Needs Improvement</v>
      </c>
      <c r="L127" s="38">
        <f>VLOOKUP(H127,Lookup_Performance!$A$1:$D$6,4,TRUE)</f>
        <v>0</v>
      </c>
      <c r="M127" s="27" t="str">
        <f t="shared" si="1"/>
        <v>2018</v>
      </c>
      <c r="N127" s="26">
        <v>8</v>
      </c>
    </row>
    <row r="128" spans="1:14" x14ac:dyDescent="0.3">
      <c r="A128" s="28" t="s">
        <v>249</v>
      </c>
      <c r="B128" s="29" t="s">
        <v>113</v>
      </c>
      <c r="C128" s="29" t="s">
        <v>54</v>
      </c>
      <c r="D128" s="29" t="s">
        <v>419</v>
      </c>
      <c r="E128" s="29" t="s">
        <v>11</v>
      </c>
      <c r="F128" s="30">
        <v>43301</v>
      </c>
      <c r="G128" s="29">
        <v>110618</v>
      </c>
      <c r="H128" s="31">
        <v>88</v>
      </c>
      <c r="I128" s="29" t="s">
        <v>45</v>
      </c>
      <c r="J128" s="29" t="str">
        <f>VLOOKUP(E128,Lookup_Departments!$A$1:$B$7,2,FALSE)</f>
        <v>Information Technology</v>
      </c>
      <c r="K128" s="29" t="str">
        <f>VLOOKUP(H128,Lookup_Performance!$A$1:$D$6,3,TRUE)</f>
        <v>Exceeding</v>
      </c>
      <c r="L128" s="39">
        <f>VLOOKUP(H128,Lookup_Performance!$A$1:$D$6,4,TRUE)</f>
        <v>0.08</v>
      </c>
      <c r="M128" s="32" t="str">
        <f t="shared" si="1"/>
        <v>2018</v>
      </c>
      <c r="N128" s="31">
        <v>8</v>
      </c>
    </row>
    <row r="129" spans="1:14" x14ac:dyDescent="0.3">
      <c r="A129" s="23" t="s">
        <v>250</v>
      </c>
      <c r="B129" s="24" t="s">
        <v>53</v>
      </c>
      <c r="C129" s="24" t="s">
        <v>64</v>
      </c>
      <c r="D129" s="24" t="s">
        <v>420</v>
      </c>
      <c r="E129" s="24" t="s">
        <v>48</v>
      </c>
      <c r="F129" s="25">
        <v>42463</v>
      </c>
      <c r="G129" s="24">
        <v>108395</v>
      </c>
      <c r="H129" s="26">
        <v>78</v>
      </c>
      <c r="I129" s="24" t="s">
        <v>45</v>
      </c>
      <c r="J129" s="24" t="str">
        <f>VLOOKUP(E129,Lookup_Departments!$A$1:$B$7,2,FALSE)</f>
        <v>Sales</v>
      </c>
      <c r="K129" s="24" t="str">
        <f>VLOOKUP(H129,Lookup_Performance!$A$1:$D$6,3,TRUE)</f>
        <v>Achieving</v>
      </c>
      <c r="L129" s="38">
        <f>VLOOKUP(H129,Lookup_Performance!$A$1:$D$6,4,TRUE)</f>
        <v>0.05</v>
      </c>
      <c r="M129" s="27" t="str">
        <f t="shared" si="1"/>
        <v>2016</v>
      </c>
      <c r="N129" s="26">
        <v>10</v>
      </c>
    </row>
    <row r="130" spans="1:14" x14ac:dyDescent="0.3">
      <c r="A130" s="28" t="s">
        <v>252</v>
      </c>
      <c r="B130" s="29" t="s">
        <v>24</v>
      </c>
      <c r="C130" s="29" t="s">
        <v>25</v>
      </c>
      <c r="D130" s="29" t="s">
        <v>421</v>
      </c>
      <c r="E130" s="29" t="s">
        <v>33</v>
      </c>
      <c r="F130" s="30">
        <v>44643</v>
      </c>
      <c r="G130" s="29">
        <v>88005</v>
      </c>
      <c r="H130" s="31">
        <v>69</v>
      </c>
      <c r="I130" s="29" t="s">
        <v>30</v>
      </c>
      <c r="J130" s="29" t="str">
        <f>VLOOKUP(E130,Lookup_Departments!$A$1:$B$7,2,FALSE)</f>
        <v>Operations</v>
      </c>
      <c r="K130" s="29" t="str">
        <f>VLOOKUP(H130,Lookup_Performance!$A$1:$D$6,3,TRUE)</f>
        <v>Developing</v>
      </c>
      <c r="L130" s="39">
        <f>VLOOKUP(H130,Lookup_Performance!$A$1:$D$6,4,TRUE)</f>
        <v>0.02</v>
      </c>
      <c r="M130" s="32" t="str">
        <f t="shared" si="1"/>
        <v>2022</v>
      </c>
      <c r="N130" s="31">
        <v>4</v>
      </c>
    </row>
    <row r="131" spans="1:14" x14ac:dyDescent="0.3">
      <c r="A131" s="23" t="s">
        <v>253</v>
      </c>
      <c r="B131" s="24" t="s">
        <v>113</v>
      </c>
      <c r="C131" s="24" t="s">
        <v>135</v>
      </c>
      <c r="D131" s="24" t="s">
        <v>419</v>
      </c>
      <c r="E131" s="24" t="s">
        <v>26</v>
      </c>
      <c r="F131" s="25">
        <v>42944</v>
      </c>
      <c r="G131" s="24">
        <v>83007</v>
      </c>
      <c r="H131" s="26">
        <v>82</v>
      </c>
      <c r="I131" s="24" t="s">
        <v>45</v>
      </c>
      <c r="J131" s="24" t="str">
        <f>VLOOKUP(E131,Lookup_Departments!$A$1:$B$7,2,FALSE)</f>
        <v>Finance</v>
      </c>
      <c r="K131" s="24" t="str">
        <f>VLOOKUP(H131,Lookup_Performance!$A$1:$D$6,3,TRUE)</f>
        <v>Achieving</v>
      </c>
      <c r="L131" s="38">
        <f>VLOOKUP(H131,Lookup_Performance!$A$1:$D$6,4,TRUE)</f>
        <v>0.05</v>
      </c>
      <c r="M131" s="27" t="str">
        <f t="shared" ref="M131:M151" si="2">TEXT(F131, "yyyy")</f>
        <v>2017</v>
      </c>
      <c r="N131" s="26">
        <v>9</v>
      </c>
    </row>
    <row r="132" spans="1:14" x14ac:dyDescent="0.3">
      <c r="A132" s="28" t="s">
        <v>256</v>
      </c>
      <c r="B132" s="29" t="s">
        <v>94</v>
      </c>
      <c r="C132" s="29" t="s">
        <v>29</v>
      </c>
      <c r="D132" s="29" t="s">
        <v>422</v>
      </c>
      <c r="E132" s="29" t="s">
        <v>33</v>
      </c>
      <c r="F132" s="30">
        <v>45057</v>
      </c>
      <c r="G132" s="29">
        <v>61547</v>
      </c>
      <c r="H132" s="31">
        <v>68</v>
      </c>
      <c r="I132" s="29" t="s">
        <v>116</v>
      </c>
      <c r="J132" s="29" t="str">
        <f>VLOOKUP(E132,Lookup_Departments!$A$1:$B$7,2,FALSE)</f>
        <v>Operations</v>
      </c>
      <c r="K132" s="29" t="str">
        <f>VLOOKUP(H132,Lookup_Performance!$A$1:$D$6,3,TRUE)</f>
        <v>Developing</v>
      </c>
      <c r="L132" s="39">
        <f>VLOOKUP(H132,Lookup_Performance!$A$1:$D$6,4,TRUE)</f>
        <v>0.02</v>
      </c>
      <c r="M132" s="32" t="str">
        <f t="shared" si="2"/>
        <v>2023</v>
      </c>
      <c r="N132" s="31">
        <v>3</v>
      </c>
    </row>
    <row r="133" spans="1:14" x14ac:dyDescent="0.3">
      <c r="A133" s="23" t="s">
        <v>259</v>
      </c>
      <c r="B133" s="24" t="s">
        <v>105</v>
      </c>
      <c r="C133" s="24" t="s">
        <v>15</v>
      </c>
      <c r="D133" s="24" t="s">
        <v>423</v>
      </c>
      <c r="E133" s="24" t="s">
        <v>33</v>
      </c>
      <c r="F133" s="25">
        <v>44639</v>
      </c>
      <c r="G133" s="24">
        <v>82713</v>
      </c>
      <c r="H133" s="26">
        <v>52</v>
      </c>
      <c r="I133" s="24" t="s">
        <v>30</v>
      </c>
      <c r="J133" s="24" t="str">
        <f>VLOOKUP(E133,Lookup_Departments!$A$1:$B$7,2,FALSE)</f>
        <v>Operations</v>
      </c>
      <c r="K133" s="24" t="str">
        <f>VLOOKUP(H133,Lookup_Performance!$A$1:$D$6,3,TRUE)</f>
        <v>Developing</v>
      </c>
      <c r="L133" s="38">
        <f>VLOOKUP(H133,Lookup_Performance!$A$1:$D$6,4,TRUE)</f>
        <v>0.02</v>
      </c>
      <c r="M133" s="27" t="str">
        <f t="shared" si="2"/>
        <v>2022</v>
      </c>
      <c r="N133" s="26">
        <v>4</v>
      </c>
    </row>
    <row r="134" spans="1:14" x14ac:dyDescent="0.3">
      <c r="A134" s="28" t="s">
        <v>261</v>
      </c>
      <c r="B134" s="29" t="s">
        <v>105</v>
      </c>
      <c r="C134" s="29" t="s">
        <v>32</v>
      </c>
      <c r="D134" s="29" t="s">
        <v>424</v>
      </c>
      <c r="E134" s="29" t="s">
        <v>44</v>
      </c>
      <c r="F134" s="30">
        <v>43091</v>
      </c>
      <c r="G134" s="29">
        <v>50399</v>
      </c>
      <c r="H134" s="31">
        <v>92</v>
      </c>
      <c r="I134" s="29" t="s">
        <v>45</v>
      </c>
      <c r="J134" s="29" t="str">
        <f>VLOOKUP(E134,Lookup_Departments!$A$1:$B$7,2,FALSE)</f>
        <v>Sales</v>
      </c>
      <c r="K134" s="29" t="str">
        <f>VLOOKUP(H134,Lookup_Performance!$A$1:$D$6,3,TRUE)</f>
        <v>Exceeding</v>
      </c>
      <c r="L134" s="39">
        <f>VLOOKUP(H134,Lookup_Performance!$A$1:$D$6,4,TRUE)</f>
        <v>0.08</v>
      </c>
      <c r="M134" s="32" t="str">
        <f t="shared" si="2"/>
        <v>2017</v>
      </c>
      <c r="N134" s="31">
        <v>9</v>
      </c>
    </row>
    <row r="135" spans="1:14" x14ac:dyDescent="0.3">
      <c r="A135" s="23" t="s">
        <v>262</v>
      </c>
      <c r="B135" s="24" t="s">
        <v>53</v>
      </c>
      <c r="C135" s="24" t="s">
        <v>133</v>
      </c>
      <c r="D135" s="24" t="s">
        <v>411</v>
      </c>
      <c r="E135" s="24" t="s">
        <v>33</v>
      </c>
      <c r="F135" s="25">
        <v>44437</v>
      </c>
      <c r="G135" s="24">
        <v>82713</v>
      </c>
      <c r="H135" s="26">
        <v>62</v>
      </c>
      <c r="I135" s="24" t="s">
        <v>45</v>
      </c>
      <c r="J135" s="24" t="str">
        <f>VLOOKUP(E135,Lookup_Departments!$A$1:$B$7,2,FALSE)</f>
        <v>Operations</v>
      </c>
      <c r="K135" s="24" t="str">
        <f>VLOOKUP(H135,Lookup_Performance!$A$1:$D$6,3,TRUE)</f>
        <v>Developing</v>
      </c>
      <c r="L135" s="38">
        <f>VLOOKUP(H135,Lookup_Performance!$A$1:$D$6,4,TRUE)</f>
        <v>0.02</v>
      </c>
      <c r="M135" s="27" t="str">
        <f t="shared" si="2"/>
        <v>2021</v>
      </c>
      <c r="N135" s="26">
        <v>5</v>
      </c>
    </row>
    <row r="136" spans="1:14" x14ac:dyDescent="0.3">
      <c r="A136" s="28" t="s">
        <v>264</v>
      </c>
      <c r="B136" s="29" t="s">
        <v>113</v>
      </c>
      <c r="C136" s="29" t="s">
        <v>64</v>
      </c>
      <c r="D136" s="29" t="s">
        <v>410</v>
      </c>
      <c r="E136" s="29" t="s">
        <v>84</v>
      </c>
      <c r="F136" s="30">
        <v>43360</v>
      </c>
      <c r="G136" s="29">
        <v>52720</v>
      </c>
      <c r="H136" s="31">
        <v>68</v>
      </c>
      <c r="I136" s="29" t="s">
        <v>45</v>
      </c>
      <c r="J136" s="29" t="str">
        <f>VLOOKUP(E136,Lookup_Departments!$A$1:$B$7,2,FALSE)</f>
        <v>Information Technology</v>
      </c>
      <c r="K136" s="29" t="str">
        <f>VLOOKUP(H136,Lookup_Performance!$A$1:$D$6,3,TRUE)</f>
        <v>Developing</v>
      </c>
      <c r="L136" s="39">
        <f>VLOOKUP(H136,Lookup_Performance!$A$1:$D$6,4,TRUE)</f>
        <v>0.02</v>
      </c>
      <c r="M136" s="32" t="str">
        <f t="shared" si="2"/>
        <v>2018</v>
      </c>
      <c r="N136" s="31">
        <v>8</v>
      </c>
    </row>
    <row r="137" spans="1:14" x14ac:dyDescent="0.3">
      <c r="A137" s="23" t="s">
        <v>266</v>
      </c>
      <c r="B137" s="24" t="s">
        <v>66</v>
      </c>
      <c r="C137" s="24" t="s">
        <v>36</v>
      </c>
      <c r="D137" s="24" t="s">
        <v>425</v>
      </c>
      <c r="E137" s="24" t="s">
        <v>97</v>
      </c>
      <c r="F137" s="25">
        <v>44375</v>
      </c>
      <c r="G137" s="24">
        <v>65065</v>
      </c>
      <c r="H137" s="26">
        <v>98</v>
      </c>
      <c r="I137" s="24" t="s">
        <v>45</v>
      </c>
      <c r="J137" s="24" t="str">
        <f>VLOOKUP(E137,Lookup_Departments!$A$1:$B$7,2,FALSE)</f>
        <v>Human Resources</v>
      </c>
      <c r="K137" s="24" t="str">
        <f>VLOOKUP(H137,Lookup_Performance!$A$1:$D$6,3,TRUE)</f>
        <v>Outstanding</v>
      </c>
      <c r="L137" s="38">
        <f>VLOOKUP(H137,Lookup_Performance!$A$1:$D$6,4,TRUE)</f>
        <v>0.12</v>
      </c>
      <c r="M137" s="27" t="str">
        <f t="shared" si="2"/>
        <v>2021</v>
      </c>
      <c r="N137" s="26">
        <v>5</v>
      </c>
    </row>
    <row r="138" spans="1:14" x14ac:dyDescent="0.3">
      <c r="A138" s="28" t="s">
        <v>267</v>
      </c>
      <c r="B138" s="29" t="s">
        <v>14</v>
      </c>
      <c r="C138" s="29" t="s">
        <v>32</v>
      </c>
      <c r="D138" s="29" t="s">
        <v>426</v>
      </c>
      <c r="E138" s="29" t="s">
        <v>26</v>
      </c>
      <c r="F138" s="30">
        <v>42804</v>
      </c>
      <c r="G138" s="29">
        <v>82713</v>
      </c>
      <c r="H138" s="31">
        <v>94</v>
      </c>
      <c r="I138" s="29" t="s">
        <v>30</v>
      </c>
      <c r="J138" s="29" t="str">
        <f>VLOOKUP(E138,Lookup_Departments!$A$1:$B$7,2,FALSE)</f>
        <v>Finance</v>
      </c>
      <c r="K138" s="29" t="str">
        <f>VLOOKUP(H138,Lookup_Performance!$A$1:$D$6,3,TRUE)</f>
        <v>Exceeding</v>
      </c>
      <c r="L138" s="39">
        <f>VLOOKUP(H138,Lookup_Performance!$A$1:$D$6,4,TRUE)</f>
        <v>0.08</v>
      </c>
      <c r="M138" s="32" t="str">
        <f t="shared" si="2"/>
        <v>2017</v>
      </c>
      <c r="N138" s="31">
        <v>9</v>
      </c>
    </row>
    <row r="139" spans="1:14" x14ac:dyDescent="0.3">
      <c r="A139" s="23" t="s">
        <v>269</v>
      </c>
      <c r="B139" s="24" t="s">
        <v>14</v>
      </c>
      <c r="C139" s="24" t="s">
        <v>54</v>
      </c>
      <c r="D139" s="24" t="s">
        <v>427</v>
      </c>
      <c r="E139" s="24" t="s">
        <v>48</v>
      </c>
      <c r="F139" s="25">
        <v>42299</v>
      </c>
      <c r="G139" s="24">
        <v>108119</v>
      </c>
      <c r="H139" s="26">
        <v>57</v>
      </c>
      <c r="I139" s="24" t="s">
        <v>45</v>
      </c>
      <c r="J139" s="24" t="str">
        <f>VLOOKUP(E139,Lookup_Departments!$A$1:$B$7,2,FALSE)</f>
        <v>Sales</v>
      </c>
      <c r="K139" s="24" t="str">
        <f>VLOOKUP(H139,Lookup_Performance!$A$1:$D$6,3,TRUE)</f>
        <v>Developing</v>
      </c>
      <c r="L139" s="38">
        <f>VLOOKUP(H139,Lookup_Performance!$A$1:$D$6,4,TRUE)</f>
        <v>0.02</v>
      </c>
      <c r="M139" s="27" t="str">
        <f t="shared" si="2"/>
        <v>2015</v>
      </c>
      <c r="N139" s="26">
        <v>11</v>
      </c>
    </row>
    <row r="140" spans="1:14" x14ac:dyDescent="0.3">
      <c r="A140" s="28" t="s">
        <v>271</v>
      </c>
      <c r="B140" s="29" t="s">
        <v>24</v>
      </c>
      <c r="C140" s="29" t="s">
        <v>15</v>
      </c>
      <c r="D140" s="29" t="s">
        <v>428</v>
      </c>
      <c r="E140" s="29" t="s">
        <v>33</v>
      </c>
      <c r="F140" s="30">
        <v>43257</v>
      </c>
      <c r="G140" s="29">
        <v>82713</v>
      </c>
      <c r="H140" s="31">
        <v>96</v>
      </c>
      <c r="I140" s="29" t="s">
        <v>45</v>
      </c>
      <c r="J140" s="29" t="str">
        <f>VLOOKUP(E140,Lookup_Departments!$A$1:$B$7,2,FALSE)</f>
        <v>Operations</v>
      </c>
      <c r="K140" s="29" t="str">
        <f>VLOOKUP(H140,Lookup_Performance!$A$1:$D$6,3,TRUE)</f>
        <v>Outstanding</v>
      </c>
      <c r="L140" s="39">
        <f>VLOOKUP(H140,Lookup_Performance!$A$1:$D$6,4,TRUE)</f>
        <v>0.12</v>
      </c>
      <c r="M140" s="32" t="str">
        <f t="shared" si="2"/>
        <v>2018</v>
      </c>
      <c r="N140" s="31">
        <v>8</v>
      </c>
    </row>
    <row r="141" spans="1:14" x14ac:dyDescent="0.3">
      <c r="A141" s="23" t="s">
        <v>272</v>
      </c>
      <c r="B141" s="24" t="s">
        <v>94</v>
      </c>
      <c r="C141" s="24" t="s">
        <v>19</v>
      </c>
      <c r="D141" s="24" t="s">
        <v>355</v>
      </c>
      <c r="E141" s="24" t="s">
        <v>16</v>
      </c>
      <c r="F141" s="25">
        <v>42932</v>
      </c>
      <c r="G141" s="24">
        <v>106896</v>
      </c>
      <c r="H141" s="26">
        <v>52</v>
      </c>
      <c r="I141" s="24" t="s">
        <v>45</v>
      </c>
      <c r="J141" s="24" t="str">
        <f>VLOOKUP(E141,Lookup_Departments!$A$1:$B$7,2,FALSE)</f>
        <v>Marketing</v>
      </c>
      <c r="K141" s="24" t="str">
        <f>VLOOKUP(H141,Lookup_Performance!$A$1:$D$6,3,TRUE)</f>
        <v>Developing</v>
      </c>
      <c r="L141" s="38">
        <f>VLOOKUP(H141,Lookup_Performance!$A$1:$D$6,4,TRUE)</f>
        <v>0.02</v>
      </c>
      <c r="M141" s="27" t="str">
        <f t="shared" si="2"/>
        <v>2017</v>
      </c>
      <c r="N141" s="26">
        <v>9</v>
      </c>
    </row>
    <row r="142" spans="1:14" x14ac:dyDescent="0.3">
      <c r="A142" s="28" t="s">
        <v>273</v>
      </c>
      <c r="B142" s="29" t="s">
        <v>105</v>
      </c>
      <c r="C142" s="29" t="s">
        <v>15</v>
      </c>
      <c r="D142" s="29" t="s">
        <v>429</v>
      </c>
      <c r="E142" s="29" t="s">
        <v>26</v>
      </c>
      <c r="F142" s="30">
        <v>42175</v>
      </c>
      <c r="G142" s="29">
        <v>85457</v>
      </c>
      <c r="H142" s="31">
        <v>79</v>
      </c>
      <c r="I142" s="29" t="s">
        <v>116</v>
      </c>
      <c r="J142" s="29" t="str">
        <f>VLOOKUP(E142,Lookup_Departments!$A$1:$B$7,2,FALSE)</f>
        <v>Finance</v>
      </c>
      <c r="K142" s="29" t="str">
        <f>VLOOKUP(H142,Lookup_Performance!$A$1:$D$6,3,TRUE)</f>
        <v>Achieving</v>
      </c>
      <c r="L142" s="39">
        <f>VLOOKUP(H142,Lookup_Performance!$A$1:$D$6,4,TRUE)</f>
        <v>0.05</v>
      </c>
      <c r="M142" s="32" t="str">
        <f t="shared" si="2"/>
        <v>2015</v>
      </c>
      <c r="N142" s="31">
        <v>11</v>
      </c>
    </row>
    <row r="143" spans="1:14" x14ac:dyDescent="0.3">
      <c r="A143" s="23" t="s">
        <v>274</v>
      </c>
      <c r="B143" s="24" t="s">
        <v>105</v>
      </c>
      <c r="C143" s="24" t="s">
        <v>15</v>
      </c>
      <c r="D143" s="24" t="s">
        <v>430</v>
      </c>
      <c r="E143" s="24" t="s">
        <v>48</v>
      </c>
      <c r="F143" s="25">
        <v>43609</v>
      </c>
      <c r="G143" s="24">
        <v>62798</v>
      </c>
      <c r="H143" s="26">
        <v>30</v>
      </c>
      <c r="I143" s="24" t="s">
        <v>116</v>
      </c>
      <c r="J143" s="24" t="str">
        <f>VLOOKUP(E143,Lookup_Departments!$A$1:$B$7,2,FALSE)</f>
        <v>Sales</v>
      </c>
      <c r="K143" s="24" t="str">
        <f>VLOOKUP(H143,Lookup_Performance!$A$1:$D$6,3,TRUE)</f>
        <v>Needs Improvement</v>
      </c>
      <c r="L143" s="38">
        <f>VLOOKUP(H143,Lookup_Performance!$A$1:$D$6,4,TRUE)</f>
        <v>0</v>
      </c>
      <c r="M143" s="27" t="str">
        <f t="shared" si="2"/>
        <v>2019</v>
      </c>
      <c r="N143" s="26">
        <v>7</v>
      </c>
    </row>
    <row r="144" spans="1:14" x14ac:dyDescent="0.3">
      <c r="A144" s="28" t="s">
        <v>276</v>
      </c>
      <c r="B144" s="29" t="s">
        <v>24</v>
      </c>
      <c r="C144" s="29" t="s">
        <v>64</v>
      </c>
      <c r="D144" s="29" t="s">
        <v>428</v>
      </c>
      <c r="E144" s="29" t="s">
        <v>33</v>
      </c>
      <c r="F144" s="30">
        <v>43887</v>
      </c>
      <c r="G144" s="29">
        <v>47794</v>
      </c>
      <c r="H144" s="31">
        <v>73</v>
      </c>
      <c r="I144" s="29" t="s">
        <v>45</v>
      </c>
      <c r="J144" s="29" t="str">
        <f>VLOOKUP(E144,Lookup_Departments!$A$1:$B$7,2,FALSE)</f>
        <v>Operations</v>
      </c>
      <c r="K144" s="29" t="str">
        <f>VLOOKUP(H144,Lookup_Performance!$A$1:$D$6,3,TRUE)</f>
        <v>Achieving</v>
      </c>
      <c r="L144" s="39">
        <f>VLOOKUP(H144,Lookup_Performance!$A$1:$D$6,4,TRUE)</f>
        <v>0.05</v>
      </c>
      <c r="M144" s="32" t="str">
        <f t="shared" si="2"/>
        <v>2020</v>
      </c>
      <c r="N144" s="31">
        <v>6</v>
      </c>
    </row>
    <row r="145" spans="1:14" x14ac:dyDescent="0.3">
      <c r="A145" s="23" t="s">
        <v>277</v>
      </c>
      <c r="B145" s="24" t="s">
        <v>14</v>
      </c>
      <c r="C145" s="24" t="s">
        <v>64</v>
      </c>
      <c r="D145" s="24" t="s">
        <v>431</v>
      </c>
      <c r="E145" s="24" t="s">
        <v>16</v>
      </c>
      <c r="F145" s="25">
        <v>45080</v>
      </c>
      <c r="G145" s="24">
        <v>93094</v>
      </c>
      <c r="H145" s="26">
        <v>74</v>
      </c>
      <c r="I145" s="24" t="s">
        <v>30</v>
      </c>
      <c r="J145" s="24" t="str">
        <f>VLOOKUP(E145,Lookup_Departments!$A$1:$B$7,2,FALSE)</f>
        <v>Marketing</v>
      </c>
      <c r="K145" s="24" t="str">
        <f>VLOOKUP(H145,Lookup_Performance!$A$1:$D$6,3,TRUE)</f>
        <v>Achieving</v>
      </c>
      <c r="L145" s="38">
        <f>VLOOKUP(H145,Lookup_Performance!$A$1:$D$6,4,TRUE)</f>
        <v>0.05</v>
      </c>
      <c r="M145" s="27" t="str">
        <f t="shared" si="2"/>
        <v>2023</v>
      </c>
      <c r="N145" s="26">
        <v>3</v>
      </c>
    </row>
    <row r="146" spans="1:14" x14ac:dyDescent="0.3">
      <c r="A146" s="28" t="s">
        <v>278</v>
      </c>
      <c r="B146" s="29" t="s">
        <v>9</v>
      </c>
      <c r="C146" s="29" t="s">
        <v>60</v>
      </c>
      <c r="D146" s="29" t="s">
        <v>344</v>
      </c>
      <c r="E146" s="29" t="s">
        <v>11</v>
      </c>
      <c r="F146" s="33">
        <v>43477</v>
      </c>
      <c r="G146" s="29">
        <v>118634</v>
      </c>
      <c r="H146" s="29">
        <v>91</v>
      </c>
      <c r="I146" s="29" t="s">
        <v>45</v>
      </c>
      <c r="J146" s="29" t="str">
        <f>VLOOKUP(E146,Lookup_Departments!$A$1:$B$7,2,FALSE)</f>
        <v>Information Technology</v>
      </c>
      <c r="K146" s="29" t="str">
        <f>VLOOKUP(H146,Lookup_Performance!$A$1:$D$6,3,TRUE)</f>
        <v>Exceeding</v>
      </c>
      <c r="L146" s="39">
        <f>VLOOKUP(H146,Lookup_Performance!$A$1:$D$6,4,TRUE)</f>
        <v>0.08</v>
      </c>
      <c r="M146" s="32" t="str">
        <f t="shared" si="2"/>
        <v>2019</v>
      </c>
      <c r="N146" s="31">
        <v>7</v>
      </c>
    </row>
    <row r="147" spans="1:14" x14ac:dyDescent="0.3">
      <c r="A147" s="23" t="s">
        <v>280</v>
      </c>
      <c r="B147" s="24" t="s">
        <v>160</v>
      </c>
      <c r="C147" s="24" t="s">
        <v>41</v>
      </c>
      <c r="D147" s="24" t="s">
        <v>432</v>
      </c>
      <c r="E147" s="24" t="s">
        <v>26</v>
      </c>
      <c r="F147" s="25">
        <v>45037</v>
      </c>
      <c r="G147" s="24">
        <v>85457</v>
      </c>
      <c r="H147" s="24">
        <v>79</v>
      </c>
      <c r="I147" s="24" t="s">
        <v>45</v>
      </c>
      <c r="J147" s="24" t="str">
        <f>VLOOKUP(E147,Lookup_Departments!$A$1:$B$7,2,FALSE)</f>
        <v>Finance</v>
      </c>
      <c r="K147" s="24" t="str">
        <f>VLOOKUP(H147,Lookup_Performance!$A$1:$D$6,3,TRUE)</f>
        <v>Achieving</v>
      </c>
      <c r="L147" s="38">
        <f>VLOOKUP(H147,Lookup_Performance!$A$1:$D$6,4,TRUE)</f>
        <v>0.05</v>
      </c>
      <c r="M147" s="27" t="str">
        <f t="shared" si="2"/>
        <v>2023</v>
      </c>
      <c r="N147" s="26">
        <v>3</v>
      </c>
    </row>
    <row r="148" spans="1:14" x14ac:dyDescent="0.3">
      <c r="A148" s="28" t="s">
        <v>281</v>
      </c>
      <c r="B148" s="29" t="s">
        <v>105</v>
      </c>
      <c r="C148" s="29" t="s">
        <v>47</v>
      </c>
      <c r="D148" s="29" t="s">
        <v>375</v>
      </c>
      <c r="E148" s="29" t="s">
        <v>48</v>
      </c>
      <c r="F148" s="30">
        <v>42519</v>
      </c>
      <c r="G148" s="29">
        <v>62798</v>
      </c>
      <c r="H148" s="29">
        <v>30</v>
      </c>
      <c r="I148" s="29" t="s">
        <v>45</v>
      </c>
      <c r="J148" s="29" t="str">
        <f>VLOOKUP(E148,Lookup_Departments!$A$1:$B$7,2,FALSE)</f>
        <v>Sales</v>
      </c>
      <c r="K148" s="29" t="str">
        <f>VLOOKUP(H148,Lookup_Performance!$A$1:$D$6,3,TRUE)</f>
        <v>Needs Improvement</v>
      </c>
      <c r="L148" s="39">
        <f>VLOOKUP(H148,Lookup_Performance!$A$1:$D$6,4,TRUE)</f>
        <v>0</v>
      </c>
      <c r="M148" s="32" t="str">
        <f t="shared" si="2"/>
        <v>2016</v>
      </c>
      <c r="N148" s="31">
        <v>10</v>
      </c>
    </row>
    <row r="149" spans="1:14" x14ac:dyDescent="0.3">
      <c r="A149" s="23" t="s">
        <v>282</v>
      </c>
      <c r="B149" s="24" t="s">
        <v>9</v>
      </c>
      <c r="C149" s="24" t="s">
        <v>25</v>
      </c>
      <c r="D149" s="24" t="s">
        <v>433</v>
      </c>
      <c r="E149" s="24" t="s">
        <v>33</v>
      </c>
      <c r="F149" s="25">
        <v>44711</v>
      </c>
      <c r="G149" s="24">
        <v>47794</v>
      </c>
      <c r="H149" s="24">
        <v>73</v>
      </c>
      <c r="I149" s="24" t="s">
        <v>30</v>
      </c>
      <c r="J149" s="24" t="str">
        <f>VLOOKUP(E149,Lookup_Departments!$A$1:$B$7,2,FALSE)</f>
        <v>Operations</v>
      </c>
      <c r="K149" s="24" t="str">
        <f>VLOOKUP(H149,Lookup_Performance!$A$1:$D$6,3,TRUE)</f>
        <v>Achieving</v>
      </c>
      <c r="L149" s="38">
        <f>VLOOKUP(H149,Lookup_Performance!$A$1:$D$6,4,TRUE)</f>
        <v>0.05</v>
      </c>
      <c r="M149" s="27" t="str">
        <f t="shared" si="2"/>
        <v>2022</v>
      </c>
      <c r="N149" s="26">
        <v>4</v>
      </c>
    </row>
    <row r="150" spans="1:14" x14ac:dyDescent="0.3">
      <c r="A150" s="28" t="s">
        <v>283</v>
      </c>
      <c r="B150" s="29" t="s">
        <v>66</v>
      </c>
      <c r="C150" s="29" t="s">
        <v>41</v>
      </c>
      <c r="D150" s="29" t="s">
        <v>425</v>
      </c>
      <c r="E150" s="29" t="s">
        <v>16</v>
      </c>
      <c r="F150" s="30">
        <v>42440</v>
      </c>
      <c r="G150" s="29">
        <v>93094</v>
      </c>
      <c r="H150" s="29">
        <v>74</v>
      </c>
      <c r="I150" s="29" t="s">
        <v>45</v>
      </c>
      <c r="J150" s="29" t="str">
        <f>VLOOKUP(E150,Lookup_Departments!$A$1:$B$7,2,FALSE)</f>
        <v>Marketing</v>
      </c>
      <c r="K150" s="29" t="str">
        <f>VLOOKUP(H150,Lookup_Performance!$A$1:$D$6,3,TRUE)</f>
        <v>Achieving</v>
      </c>
      <c r="L150" s="39">
        <f>VLOOKUP(H150,Lookup_Performance!$A$1:$D$6,4,TRUE)</f>
        <v>0.05</v>
      </c>
      <c r="M150" s="32" t="str">
        <f t="shared" si="2"/>
        <v>2016</v>
      </c>
      <c r="N150" s="31">
        <v>10</v>
      </c>
    </row>
    <row r="151" spans="1:14" x14ac:dyDescent="0.3">
      <c r="A151" s="23" t="s">
        <v>285</v>
      </c>
      <c r="B151" s="24" t="s">
        <v>71</v>
      </c>
      <c r="C151" s="24" t="s">
        <v>10</v>
      </c>
      <c r="D151" s="24" t="s">
        <v>339</v>
      </c>
      <c r="E151" s="24" t="s">
        <v>11</v>
      </c>
      <c r="F151" s="25">
        <v>44848</v>
      </c>
      <c r="G151" s="24">
        <v>118634</v>
      </c>
      <c r="H151" s="24">
        <v>91</v>
      </c>
      <c r="I151" s="24" t="s">
        <v>45</v>
      </c>
      <c r="J151" s="24" t="str">
        <f>VLOOKUP(E151,Lookup_Departments!$A$1:$B$7,2,FALSE)</f>
        <v>Information Technology</v>
      </c>
      <c r="K151" s="24" t="str">
        <f>VLOOKUP(H151,Lookup_Performance!$A$1:$D$6,3,TRUE)</f>
        <v>Exceeding</v>
      </c>
      <c r="L151" s="38">
        <f>VLOOKUP(H151,Lookup_Performance!$A$1:$D$6,4,TRUE)</f>
        <v>0.08</v>
      </c>
      <c r="M151" s="27" t="str">
        <f t="shared" si="2"/>
        <v>2022</v>
      </c>
      <c r="N151" s="26">
        <v>4</v>
      </c>
    </row>
    <row r="152" spans="1:14" x14ac:dyDescent="0.3">
      <c r="G152"/>
    </row>
    <row r="153" spans="1:14" x14ac:dyDescent="0.3">
      <c r="G153"/>
    </row>
    <row r="154" spans="1:14" x14ac:dyDescent="0.3">
      <c r="G154"/>
    </row>
    <row r="155" spans="1:14" x14ac:dyDescent="0.3">
      <c r="G155"/>
    </row>
    <row r="156" spans="1:14" x14ac:dyDescent="0.3">
      <c r="G156"/>
    </row>
    <row r="157" spans="1:14" x14ac:dyDescent="0.3">
      <c r="G157"/>
    </row>
    <row r="158" spans="1:14" x14ac:dyDescent="0.3">
      <c r="G158"/>
    </row>
    <row r="159" spans="1:14" x14ac:dyDescent="0.3">
      <c r="G159"/>
    </row>
    <row r="160" spans="1:14" x14ac:dyDescent="0.3">
      <c r="G160"/>
    </row>
    <row r="161" spans="7:7" x14ac:dyDescent="0.3">
      <c r="G161"/>
    </row>
    <row r="162" spans="7:7" x14ac:dyDescent="0.3">
      <c r="G162"/>
    </row>
    <row r="163" spans="7:7" x14ac:dyDescent="0.3">
      <c r="G163"/>
    </row>
    <row r="164" spans="7:7" x14ac:dyDescent="0.3">
      <c r="G164"/>
    </row>
    <row r="165" spans="7:7" x14ac:dyDescent="0.3">
      <c r="G165"/>
    </row>
    <row r="166" spans="7:7" x14ac:dyDescent="0.3">
      <c r="G166"/>
    </row>
    <row r="167" spans="7:7" x14ac:dyDescent="0.3">
      <c r="G167"/>
    </row>
    <row r="168" spans="7:7" x14ac:dyDescent="0.3">
      <c r="G168"/>
    </row>
    <row r="169" spans="7:7" x14ac:dyDescent="0.3">
      <c r="G169"/>
    </row>
    <row r="170" spans="7:7" x14ac:dyDescent="0.3">
      <c r="G170"/>
    </row>
    <row r="171" spans="7:7" x14ac:dyDescent="0.3">
      <c r="G171"/>
    </row>
    <row r="172" spans="7:7" x14ac:dyDescent="0.3">
      <c r="G172"/>
    </row>
    <row r="173" spans="7:7" x14ac:dyDescent="0.3">
      <c r="G173"/>
    </row>
    <row r="174" spans="7:7" x14ac:dyDescent="0.3">
      <c r="G174"/>
    </row>
    <row r="175" spans="7:7" x14ac:dyDescent="0.3">
      <c r="G175"/>
    </row>
    <row r="176" spans="7:7" x14ac:dyDescent="0.3">
      <c r="G176"/>
    </row>
    <row r="177" spans="7:7" x14ac:dyDescent="0.3">
      <c r="G177"/>
    </row>
    <row r="178" spans="7:7" x14ac:dyDescent="0.3">
      <c r="G178"/>
    </row>
    <row r="179" spans="7:7" x14ac:dyDescent="0.3">
      <c r="G179"/>
    </row>
    <row r="180" spans="7:7" x14ac:dyDescent="0.3">
      <c r="G180"/>
    </row>
    <row r="181" spans="7:7" x14ac:dyDescent="0.3">
      <c r="G181"/>
    </row>
    <row r="182" spans="7:7" x14ac:dyDescent="0.3">
      <c r="G182"/>
    </row>
    <row r="183" spans="7:7" x14ac:dyDescent="0.3">
      <c r="G183"/>
    </row>
    <row r="184" spans="7:7" x14ac:dyDescent="0.3">
      <c r="G184"/>
    </row>
    <row r="185" spans="7:7" x14ac:dyDescent="0.3">
      <c r="G185"/>
    </row>
    <row r="186" spans="7:7" x14ac:dyDescent="0.3">
      <c r="G186"/>
    </row>
    <row r="187" spans="7:7" x14ac:dyDescent="0.3">
      <c r="G187"/>
    </row>
    <row r="188" spans="7:7" x14ac:dyDescent="0.3">
      <c r="G188"/>
    </row>
    <row r="189" spans="7:7" x14ac:dyDescent="0.3">
      <c r="G189"/>
    </row>
    <row r="190" spans="7:7" x14ac:dyDescent="0.3">
      <c r="G190"/>
    </row>
    <row r="191" spans="7:7" x14ac:dyDescent="0.3">
      <c r="G191"/>
    </row>
    <row r="192" spans="7:7" x14ac:dyDescent="0.3">
      <c r="G192"/>
    </row>
    <row r="193" spans="7:7" x14ac:dyDescent="0.3">
      <c r="G193"/>
    </row>
    <row r="194" spans="7:7" x14ac:dyDescent="0.3">
      <c r="G194"/>
    </row>
    <row r="195" spans="7:7" x14ac:dyDescent="0.3">
      <c r="G195"/>
    </row>
    <row r="196" spans="7:7" x14ac:dyDescent="0.3">
      <c r="G196"/>
    </row>
    <row r="197" spans="7:7" x14ac:dyDescent="0.3">
      <c r="G197"/>
    </row>
    <row r="198" spans="7:7" x14ac:dyDescent="0.3">
      <c r="G198"/>
    </row>
    <row r="199" spans="7:7" x14ac:dyDescent="0.3">
      <c r="G199"/>
    </row>
    <row r="200" spans="7:7" x14ac:dyDescent="0.3">
      <c r="G200"/>
    </row>
    <row r="201" spans="7:7" x14ac:dyDescent="0.3">
      <c r="G201"/>
    </row>
    <row r="202" spans="7:7" x14ac:dyDescent="0.3">
      <c r="G202"/>
    </row>
    <row r="203" spans="7:7" x14ac:dyDescent="0.3">
      <c r="G203"/>
    </row>
    <row r="204" spans="7:7" x14ac:dyDescent="0.3">
      <c r="G204"/>
    </row>
    <row r="205" spans="7:7" x14ac:dyDescent="0.3">
      <c r="G205"/>
    </row>
    <row r="206" spans="7:7" x14ac:dyDescent="0.3">
      <c r="G206"/>
    </row>
    <row r="207" spans="7:7" x14ac:dyDescent="0.3">
      <c r="G207"/>
    </row>
    <row r="208" spans="7:7" x14ac:dyDescent="0.3">
      <c r="G208"/>
    </row>
    <row r="209" spans="7:7" x14ac:dyDescent="0.3">
      <c r="G209"/>
    </row>
    <row r="210" spans="7:7" x14ac:dyDescent="0.3">
      <c r="G210"/>
    </row>
    <row r="211" spans="7:7" x14ac:dyDescent="0.3">
      <c r="G211"/>
    </row>
    <row r="212" spans="7:7" x14ac:dyDescent="0.3">
      <c r="G212"/>
    </row>
    <row r="213" spans="7:7" x14ac:dyDescent="0.3">
      <c r="G213"/>
    </row>
    <row r="214" spans="7:7" x14ac:dyDescent="0.3">
      <c r="G214"/>
    </row>
    <row r="215" spans="7:7" x14ac:dyDescent="0.3">
      <c r="G215"/>
    </row>
    <row r="216" spans="7:7" x14ac:dyDescent="0.3">
      <c r="G216"/>
    </row>
    <row r="217" spans="7:7" x14ac:dyDescent="0.3">
      <c r="G217"/>
    </row>
    <row r="218" spans="7:7" x14ac:dyDescent="0.3">
      <c r="G218"/>
    </row>
    <row r="219" spans="7:7" x14ac:dyDescent="0.3">
      <c r="G219"/>
    </row>
    <row r="220" spans="7:7" x14ac:dyDescent="0.3">
      <c r="G220"/>
    </row>
    <row r="221" spans="7:7" x14ac:dyDescent="0.3">
      <c r="G221"/>
    </row>
    <row r="222" spans="7:7" x14ac:dyDescent="0.3">
      <c r="G222"/>
    </row>
    <row r="223" spans="7:7" x14ac:dyDescent="0.3">
      <c r="G223"/>
    </row>
    <row r="224" spans="7:7" x14ac:dyDescent="0.3">
      <c r="G224"/>
    </row>
    <row r="225" spans="7:7" x14ac:dyDescent="0.3">
      <c r="G225"/>
    </row>
    <row r="226" spans="7:7" x14ac:dyDescent="0.3">
      <c r="G226"/>
    </row>
    <row r="227" spans="7:7" x14ac:dyDescent="0.3">
      <c r="G227"/>
    </row>
    <row r="228" spans="7:7" x14ac:dyDescent="0.3">
      <c r="G228"/>
    </row>
    <row r="229" spans="7:7" x14ac:dyDescent="0.3">
      <c r="G229"/>
    </row>
    <row r="230" spans="7:7" x14ac:dyDescent="0.3">
      <c r="G230"/>
    </row>
    <row r="231" spans="7:7" x14ac:dyDescent="0.3">
      <c r="G231"/>
    </row>
    <row r="232" spans="7:7" x14ac:dyDescent="0.3">
      <c r="G232"/>
    </row>
    <row r="233" spans="7:7" x14ac:dyDescent="0.3">
      <c r="G233"/>
    </row>
    <row r="234" spans="7:7" x14ac:dyDescent="0.3">
      <c r="G234"/>
    </row>
    <row r="235" spans="7:7" x14ac:dyDescent="0.3">
      <c r="G235"/>
    </row>
    <row r="236" spans="7:7" x14ac:dyDescent="0.3">
      <c r="G236"/>
    </row>
    <row r="237" spans="7:7" x14ac:dyDescent="0.3">
      <c r="G237"/>
    </row>
    <row r="238" spans="7:7" x14ac:dyDescent="0.3">
      <c r="G238"/>
    </row>
    <row r="239" spans="7:7" x14ac:dyDescent="0.3">
      <c r="G239"/>
    </row>
    <row r="240" spans="7:7" x14ac:dyDescent="0.3">
      <c r="G240"/>
    </row>
    <row r="241" spans="7:7" x14ac:dyDescent="0.3">
      <c r="G241"/>
    </row>
    <row r="242" spans="7:7" x14ac:dyDescent="0.3">
      <c r="G242"/>
    </row>
    <row r="243" spans="7:7" x14ac:dyDescent="0.3">
      <c r="G243"/>
    </row>
    <row r="244" spans="7:7" x14ac:dyDescent="0.3">
      <c r="G244"/>
    </row>
    <row r="245" spans="7:7" x14ac:dyDescent="0.3">
      <c r="G245"/>
    </row>
    <row r="246" spans="7:7" x14ac:dyDescent="0.3">
      <c r="G246"/>
    </row>
    <row r="247" spans="7:7" x14ac:dyDescent="0.3">
      <c r="G247"/>
    </row>
    <row r="248" spans="7:7" x14ac:dyDescent="0.3">
      <c r="G248"/>
    </row>
    <row r="249" spans="7:7" x14ac:dyDescent="0.3">
      <c r="G249"/>
    </row>
    <row r="250" spans="7:7" x14ac:dyDescent="0.3">
      <c r="G250"/>
    </row>
    <row r="251" spans="7:7" x14ac:dyDescent="0.3">
      <c r="G251"/>
    </row>
    <row r="252" spans="7:7" x14ac:dyDescent="0.3">
      <c r="G252"/>
    </row>
    <row r="253" spans="7:7" x14ac:dyDescent="0.3">
      <c r="G253"/>
    </row>
    <row r="254" spans="7:7" x14ac:dyDescent="0.3">
      <c r="G254"/>
    </row>
    <row r="255" spans="7:7" x14ac:dyDescent="0.3">
      <c r="G255"/>
    </row>
    <row r="256" spans="7:7" x14ac:dyDescent="0.3">
      <c r="G256"/>
    </row>
    <row r="257" spans="7:7" x14ac:dyDescent="0.3">
      <c r="G257"/>
    </row>
    <row r="258" spans="7:7" x14ac:dyDescent="0.3">
      <c r="G258"/>
    </row>
    <row r="259" spans="7:7" x14ac:dyDescent="0.3">
      <c r="G259"/>
    </row>
    <row r="260" spans="7:7" x14ac:dyDescent="0.3">
      <c r="G260"/>
    </row>
    <row r="261" spans="7:7" x14ac:dyDescent="0.3">
      <c r="G261"/>
    </row>
    <row r="262" spans="7:7" x14ac:dyDescent="0.3">
      <c r="G262"/>
    </row>
    <row r="263" spans="7:7" x14ac:dyDescent="0.3">
      <c r="G263"/>
    </row>
    <row r="264" spans="7:7" x14ac:dyDescent="0.3">
      <c r="G264"/>
    </row>
    <row r="265" spans="7:7" x14ac:dyDescent="0.3">
      <c r="G265"/>
    </row>
    <row r="266" spans="7:7" x14ac:dyDescent="0.3">
      <c r="G266"/>
    </row>
    <row r="267" spans="7:7" x14ac:dyDescent="0.3">
      <c r="G267"/>
    </row>
    <row r="268" spans="7:7" x14ac:dyDescent="0.3">
      <c r="G268"/>
    </row>
    <row r="269" spans="7:7" x14ac:dyDescent="0.3">
      <c r="G269"/>
    </row>
    <row r="270" spans="7:7" x14ac:dyDescent="0.3">
      <c r="G270"/>
    </row>
    <row r="271" spans="7:7" x14ac:dyDescent="0.3">
      <c r="G271"/>
    </row>
    <row r="272" spans="7:7" x14ac:dyDescent="0.3">
      <c r="G272"/>
    </row>
    <row r="273" spans="7:7" x14ac:dyDescent="0.3">
      <c r="G273"/>
    </row>
    <row r="274" spans="7:7" x14ac:dyDescent="0.3">
      <c r="G274"/>
    </row>
    <row r="275" spans="7:7" x14ac:dyDescent="0.3">
      <c r="G275"/>
    </row>
    <row r="276" spans="7:7" x14ac:dyDescent="0.3">
      <c r="G276"/>
    </row>
    <row r="277" spans="7:7" x14ac:dyDescent="0.3">
      <c r="G277"/>
    </row>
    <row r="278" spans="7:7" x14ac:dyDescent="0.3">
      <c r="G278"/>
    </row>
    <row r="279" spans="7:7" x14ac:dyDescent="0.3">
      <c r="G279"/>
    </row>
    <row r="280" spans="7:7" x14ac:dyDescent="0.3">
      <c r="G280"/>
    </row>
    <row r="281" spans="7:7" x14ac:dyDescent="0.3">
      <c r="G281"/>
    </row>
    <row r="282" spans="7:7" x14ac:dyDescent="0.3">
      <c r="G282"/>
    </row>
    <row r="283" spans="7:7" x14ac:dyDescent="0.3">
      <c r="G283"/>
    </row>
    <row r="284" spans="7:7" x14ac:dyDescent="0.3">
      <c r="G284"/>
    </row>
    <row r="285" spans="7:7" x14ac:dyDescent="0.3">
      <c r="G285"/>
    </row>
    <row r="286" spans="7:7" x14ac:dyDescent="0.3">
      <c r="G286"/>
    </row>
    <row r="287" spans="7:7" x14ac:dyDescent="0.3">
      <c r="G287"/>
    </row>
    <row r="288" spans="7:7" x14ac:dyDescent="0.3">
      <c r="G288"/>
    </row>
    <row r="289" spans="7:7" x14ac:dyDescent="0.3">
      <c r="G289"/>
    </row>
    <row r="290" spans="7:7" x14ac:dyDescent="0.3">
      <c r="G290"/>
    </row>
    <row r="291" spans="7:7" x14ac:dyDescent="0.3">
      <c r="G291"/>
    </row>
  </sheetData>
  <dataConsolidate/>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x14ac:dyDescent="0.3"/>
  <cols>
    <col min="1" max="1" width="13.5546875" customWidth="1"/>
    <col min="2" max="2" width="20.6640625" customWidth="1"/>
  </cols>
  <sheetData>
    <row r="1" spans="1:2" x14ac:dyDescent="0.3">
      <c r="A1" s="1" t="s">
        <v>287</v>
      </c>
      <c r="B1" s="1" t="s">
        <v>288</v>
      </c>
    </row>
    <row r="2" spans="1:2" x14ac:dyDescent="0.3">
      <c r="A2" t="s">
        <v>97</v>
      </c>
      <c r="B2" t="s">
        <v>289</v>
      </c>
    </row>
    <row r="3" spans="1:2" x14ac:dyDescent="0.3">
      <c r="A3" t="s">
        <v>11</v>
      </c>
      <c r="B3" t="s">
        <v>290</v>
      </c>
    </row>
    <row r="4" spans="1:2" x14ac:dyDescent="0.3">
      <c r="A4" t="s">
        <v>26</v>
      </c>
      <c r="B4" t="s">
        <v>291</v>
      </c>
    </row>
    <row r="5" spans="1:2" x14ac:dyDescent="0.3">
      <c r="A5" t="s">
        <v>16</v>
      </c>
      <c r="B5" t="s">
        <v>292</v>
      </c>
    </row>
    <row r="6" spans="1:2" x14ac:dyDescent="0.3">
      <c r="A6" t="s">
        <v>44</v>
      </c>
      <c r="B6" t="s">
        <v>293</v>
      </c>
    </row>
    <row r="7" spans="1:2" x14ac:dyDescent="0.3">
      <c r="A7" t="s">
        <v>33</v>
      </c>
      <c r="B7" t="s">
        <v>294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4.4" x14ac:dyDescent="0.3"/>
  <cols>
    <col min="1" max="1" width="19.33203125" customWidth="1"/>
    <col min="2" max="2" width="14.21875" customWidth="1"/>
    <col min="3" max="3" width="23.21875" customWidth="1"/>
    <col min="4" max="4" width="18.6640625" customWidth="1"/>
  </cols>
  <sheetData>
    <row r="1" spans="1:4" x14ac:dyDescent="0.3">
      <c r="A1" s="1" t="s">
        <v>295</v>
      </c>
      <c r="B1" s="1" t="s">
        <v>296</v>
      </c>
      <c r="C1" s="1" t="s">
        <v>297</v>
      </c>
      <c r="D1" s="1" t="s">
        <v>298</v>
      </c>
    </row>
    <row r="2" spans="1:4" x14ac:dyDescent="0.3">
      <c r="A2">
        <v>0</v>
      </c>
      <c r="B2">
        <v>49</v>
      </c>
      <c r="C2" t="s">
        <v>299</v>
      </c>
      <c r="D2">
        <v>0</v>
      </c>
    </row>
    <row r="3" spans="1:4" x14ac:dyDescent="0.3">
      <c r="A3">
        <v>50</v>
      </c>
      <c r="B3">
        <v>69</v>
      </c>
      <c r="C3" t="s">
        <v>300</v>
      </c>
      <c r="D3">
        <v>0.02</v>
      </c>
    </row>
    <row r="4" spans="1:4" x14ac:dyDescent="0.3">
      <c r="A4">
        <v>70</v>
      </c>
      <c r="B4">
        <v>84</v>
      </c>
      <c r="C4" t="s">
        <v>301</v>
      </c>
      <c r="D4">
        <v>0.05</v>
      </c>
    </row>
    <row r="5" spans="1:4" x14ac:dyDescent="0.3">
      <c r="A5">
        <v>85</v>
      </c>
      <c r="B5">
        <v>94</v>
      </c>
      <c r="C5" t="s">
        <v>302</v>
      </c>
      <c r="D5">
        <v>0.08</v>
      </c>
    </row>
    <row r="6" spans="1:4" x14ac:dyDescent="0.3">
      <c r="A6">
        <v>95</v>
      </c>
      <c r="B6">
        <v>100</v>
      </c>
      <c r="C6" t="s">
        <v>303</v>
      </c>
      <c r="D6">
        <v>0.12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Raw_Employee_Data</vt:lpstr>
      <vt:lpstr>Analysis</vt:lpstr>
      <vt:lpstr>Dashboard</vt:lpstr>
      <vt:lpstr>dataset</vt:lpstr>
      <vt:lpstr>Lookup_Departments</vt:lpstr>
      <vt:lpstr>Lookup_Performance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Aishat Adeniyi</cp:lastModifiedBy>
  <dcterms:created xsi:type="dcterms:W3CDTF">2026-06-04T20:20:01Z</dcterms:created>
  <dcterms:modified xsi:type="dcterms:W3CDTF">2026-07-11T12:02:25Z</dcterms:modified>
</cp:coreProperties>
</file>